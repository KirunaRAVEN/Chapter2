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ltuse.sharepoint.com/sites/Raven952/Raven Drive/Chapter 2/Tests/"/>
    </mc:Choice>
  </mc:AlternateContent>
  <xr:revisionPtr revIDLastSave="604" documentId="11_B56FA3EEFEB5231901E6B32898683D2FF8A70596" xr6:coauthVersionLast="47" xr6:coauthVersionMax="47" xr10:uidLastSave="{CCE778A0-44B6-4C50-81FD-87BA06F7B0D0}"/>
  <bookViews>
    <workbookView xWindow="-110" yWindow="-110" windowWidth="25820" windowHeight="1390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4" i="1" l="1"/>
  <c r="F45" i="1"/>
  <c r="J14" i="1"/>
  <c r="N14" i="1"/>
  <c r="F38" i="1"/>
  <c r="J13" i="1"/>
  <c r="N13" i="1"/>
  <c r="J12" i="1"/>
  <c r="N12" i="1"/>
  <c r="J11" i="1"/>
  <c r="N11" i="1"/>
  <c r="J39" i="1"/>
  <c r="N39" i="1"/>
  <c r="J15" i="1"/>
  <c r="J16" i="1"/>
  <c r="J17" i="1"/>
  <c r="J18" i="1"/>
  <c r="F39" i="1"/>
  <c r="J26" i="1"/>
  <c r="O26" i="1" s="1"/>
  <c r="F26" i="1"/>
  <c r="F25" i="1"/>
  <c r="J25" i="1"/>
  <c r="O25" i="1" s="1"/>
  <c r="O32" i="1"/>
  <c r="N35" i="1"/>
  <c r="N34" i="1"/>
  <c r="N33" i="1"/>
  <c r="N31" i="1"/>
  <c r="N8" i="1"/>
  <c r="N6" i="1"/>
  <c r="N7" i="1"/>
  <c r="N36" i="1"/>
  <c r="N9" i="1"/>
  <c r="N10" i="1"/>
  <c r="N37" i="1"/>
  <c r="N38" i="1"/>
  <c r="N40" i="1"/>
  <c r="N41" i="1"/>
  <c r="N42" i="1"/>
  <c r="N43" i="1"/>
  <c r="N15" i="1"/>
  <c r="N16" i="1"/>
  <c r="N17" i="1"/>
  <c r="N18" i="1"/>
  <c r="N19" i="1"/>
  <c r="N20" i="1"/>
  <c r="N21" i="1"/>
  <c r="N22" i="1"/>
  <c r="N23" i="1"/>
  <c r="N24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J35" i="1"/>
  <c r="J34" i="1"/>
  <c r="J33" i="1"/>
  <c r="J31" i="1"/>
  <c r="J30" i="1"/>
  <c r="O30" i="1" s="1"/>
  <c r="J29" i="1"/>
  <c r="O29" i="1" s="1"/>
  <c r="J28" i="1"/>
  <c r="O28" i="1" s="1"/>
  <c r="J27" i="1"/>
  <c r="O27" i="1" s="1"/>
  <c r="J8" i="1"/>
  <c r="J6" i="1"/>
  <c r="J7" i="1"/>
  <c r="J5" i="1"/>
  <c r="O5" i="1" s="1"/>
  <c r="J4" i="1"/>
  <c r="O4" i="1" s="1"/>
  <c r="J3" i="1"/>
  <c r="O3" i="1" s="1"/>
  <c r="J2" i="1"/>
  <c r="O2" i="1" s="1"/>
  <c r="J36" i="1"/>
  <c r="J9" i="1"/>
  <c r="J10" i="1"/>
  <c r="J37" i="1"/>
  <c r="J38" i="1"/>
  <c r="J40" i="1"/>
  <c r="J41" i="1"/>
  <c r="J42" i="1"/>
  <c r="J43" i="1"/>
  <c r="J19" i="1"/>
  <c r="J20" i="1"/>
  <c r="J21" i="1"/>
  <c r="J22" i="1"/>
  <c r="J23" i="1"/>
  <c r="J24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F35" i="1"/>
  <c r="F34" i="1"/>
  <c r="F33" i="1"/>
  <c r="F32" i="1"/>
  <c r="F31" i="1"/>
  <c r="F30" i="1"/>
  <c r="F29" i="1"/>
  <c r="F28" i="1"/>
  <c r="F27" i="1"/>
  <c r="F36" i="1"/>
  <c r="F37" i="1"/>
  <c r="F40" i="1"/>
  <c r="F41" i="1"/>
  <c r="F42" i="1"/>
  <c r="F43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O14" i="1" l="1"/>
  <c r="O13" i="1"/>
  <c r="O11" i="1"/>
  <c r="O12" i="1"/>
  <c r="O39" i="1"/>
  <c r="O104" i="1"/>
  <c r="O88" i="1"/>
  <c r="O72" i="1"/>
  <c r="O56" i="1"/>
  <c r="O21" i="1"/>
  <c r="O7" i="1"/>
  <c r="O103" i="1"/>
  <c r="O87" i="1"/>
  <c r="O71" i="1"/>
  <c r="O55" i="1"/>
  <c r="O20" i="1"/>
  <c r="O6" i="1"/>
  <c r="O102" i="1"/>
  <c r="O54" i="1"/>
  <c r="O69" i="1"/>
  <c r="O100" i="1"/>
  <c r="O52" i="1"/>
  <c r="O99" i="1"/>
  <c r="O51" i="1"/>
  <c r="O98" i="1"/>
  <c r="O50" i="1"/>
  <c r="O65" i="1"/>
  <c r="O43" i="1"/>
  <c r="O64" i="1"/>
  <c r="O42" i="1"/>
  <c r="O79" i="1"/>
  <c r="O41" i="1"/>
  <c r="O94" i="1"/>
  <c r="O46" i="1"/>
  <c r="O93" i="1"/>
  <c r="O45" i="1"/>
  <c r="O60" i="1"/>
  <c r="O44" i="1"/>
  <c r="O59" i="1"/>
  <c r="O34" i="1"/>
  <c r="O35" i="1"/>
  <c r="O70" i="1"/>
  <c r="O101" i="1"/>
  <c r="O53" i="1"/>
  <c r="O68" i="1"/>
  <c r="O83" i="1"/>
  <c r="O16" i="1"/>
  <c r="O82" i="1"/>
  <c r="O15" i="1"/>
  <c r="O97" i="1"/>
  <c r="O49" i="1"/>
  <c r="O96" i="1"/>
  <c r="O48" i="1"/>
  <c r="O63" i="1"/>
  <c r="O78" i="1"/>
  <c r="O77" i="1"/>
  <c r="O31" i="1"/>
  <c r="O92" i="1"/>
  <c r="O33" i="1"/>
  <c r="O75" i="1"/>
  <c r="O10" i="1"/>
  <c r="O74" i="1"/>
  <c r="O58" i="1"/>
  <c r="O9" i="1"/>
  <c r="O89" i="1"/>
  <c r="O73" i="1"/>
  <c r="O57" i="1"/>
  <c r="O22" i="1"/>
  <c r="O36" i="1"/>
  <c r="O86" i="1"/>
  <c r="O19" i="1"/>
  <c r="O85" i="1"/>
  <c r="O18" i="1"/>
  <c r="O84" i="1"/>
  <c r="O17" i="1"/>
  <c r="O67" i="1"/>
  <c r="O66" i="1"/>
  <c r="O8" i="1"/>
  <c r="O81" i="1"/>
  <c r="O80" i="1"/>
  <c r="O95" i="1"/>
  <c r="O47" i="1"/>
  <c r="O62" i="1"/>
  <c r="O40" i="1"/>
  <c r="O61" i="1"/>
  <c r="O76" i="1"/>
  <c r="O37" i="1"/>
  <c r="O91" i="1"/>
  <c r="O24" i="1"/>
  <c r="O90" i="1"/>
  <c r="O23" i="1"/>
  <c r="O38" i="1"/>
</calcChain>
</file>

<file path=xl/sharedStrings.xml><?xml version="1.0" encoding="utf-8"?>
<sst xmlns="http://schemas.openxmlformats.org/spreadsheetml/2006/main" count="106" uniqueCount="81">
  <si>
    <t>Test ID</t>
  </si>
  <si>
    <t>Date</t>
  </si>
  <si>
    <t>Fuel ID</t>
  </si>
  <si>
    <t>Fuel before</t>
  </si>
  <si>
    <t>Fuel after</t>
  </si>
  <si>
    <t>delta Fuel</t>
  </si>
  <si>
    <t>Bottle 1 ID</t>
  </si>
  <si>
    <t>Bottle 1 before</t>
  </si>
  <si>
    <t>Bottle 1 after</t>
  </si>
  <si>
    <t>delta Bottle 1</t>
  </si>
  <si>
    <t>Bottle 2 ID</t>
  </si>
  <si>
    <t>Bottle 2 before</t>
  </si>
  <si>
    <t>Bottle 2 after</t>
  </si>
  <si>
    <t>delta Bottle 2</t>
  </si>
  <si>
    <t>delta Oxidizer</t>
  </si>
  <si>
    <t>Comments</t>
  </si>
  <si>
    <t>CFT01</t>
  </si>
  <si>
    <t>-</t>
  </si>
  <si>
    <t>CFT02</t>
  </si>
  <si>
    <t>CFT03</t>
  </si>
  <si>
    <t>CFT04</t>
  </si>
  <si>
    <t>Multiple short bursts, bottles were not weighed</t>
  </si>
  <si>
    <t>CFT05-01</t>
  </si>
  <si>
    <t>CFT05-02</t>
  </si>
  <si>
    <t>CFT06</t>
  </si>
  <si>
    <t>CFT07</t>
  </si>
  <si>
    <t>CFT08</t>
  </si>
  <si>
    <t>CFT09-01</t>
  </si>
  <si>
    <t>Line pressure of 30 bar</t>
  </si>
  <si>
    <t>CFT09-02</t>
  </si>
  <si>
    <t>CFT09-03</t>
  </si>
  <si>
    <t>CFT10</t>
  </si>
  <si>
    <t>HFT01</t>
  </si>
  <si>
    <t>Karl</t>
  </si>
  <si>
    <t>HFT02</t>
  </si>
  <si>
    <t>Fat Tony</t>
  </si>
  <si>
    <t>HFT03</t>
  </si>
  <si>
    <t>Vega</t>
  </si>
  <si>
    <t>Missfire</t>
  </si>
  <si>
    <t>HFT04</t>
  </si>
  <si>
    <t>Ignitius</t>
  </si>
  <si>
    <t>HFT05</t>
  </si>
  <si>
    <t>Maya</t>
  </si>
  <si>
    <t>HFT06</t>
  </si>
  <si>
    <t>Steve</t>
  </si>
  <si>
    <t>HFT07</t>
  </si>
  <si>
    <t>Fiona</t>
  </si>
  <si>
    <t>HFT09</t>
  </si>
  <si>
    <t>Shrek</t>
  </si>
  <si>
    <t>1.42 (1.74)</t>
  </si>
  <si>
    <t>0.66 (5.86)</t>
  </si>
  <si>
    <t>Valve didn’t close; delta values are approximated values during the burns</t>
  </si>
  <si>
    <t>HFT10</t>
  </si>
  <si>
    <t>HFT11</t>
  </si>
  <si>
    <t>Batman</t>
  </si>
  <si>
    <t>HFT12</t>
  </si>
  <si>
    <t>HFT13</t>
  </si>
  <si>
    <t>Koulina</t>
  </si>
  <si>
    <t>HFT14</t>
  </si>
  <si>
    <t>Pope Francis</t>
  </si>
  <si>
    <t>New scale. Hence the reason to why we have more signifcant digits, as well as the reason to why the oxidizer masses after HFT13 is not the same as HFT14?</t>
  </si>
  <si>
    <t>HFT15</t>
  </si>
  <si>
    <t>Boubou</t>
  </si>
  <si>
    <t>HFT16</t>
  </si>
  <si>
    <t>Anakin</t>
  </si>
  <si>
    <t>HFT17</t>
  </si>
  <si>
    <t>Madame Tussaud</t>
  </si>
  <si>
    <t>HFT18</t>
  </si>
  <si>
    <t>Gladis</t>
  </si>
  <si>
    <t>HFT19</t>
  </si>
  <si>
    <t>HFT20</t>
  </si>
  <si>
    <t>CFT11</t>
  </si>
  <si>
    <t>CFT13</t>
  </si>
  <si>
    <t>CFT14</t>
  </si>
  <si>
    <t>CFT16</t>
  </si>
  <si>
    <t>CFT17</t>
  </si>
  <si>
    <t>CFT18</t>
  </si>
  <si>
    <t>CFT19</t>
  </si>
  <si>
    <t>CFT20</t>
  </si>
  <si>
    <t>CFT12-01</t>
  </si>
  <si>
    <t>CFT12-02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</si>
</sst>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right"/>
    </xf>
    <xf numFmtId="0" fontId="2" fillId="0" borderId="0" xfId="0" applyFont="1"/>
    <xf numFmtId="164" fontId="0" fillId="0" borderId="0" xfId="0" applyNumberFormat="1" applyAlignment="1">
      <alignment horizontal="right"/>
    </xf>
    <xf numFmtId="164" fontId="0" fillId="0" borderId="1" xfId="0" applyNumberFormat="1" applyBorder="1" applyAlignment="1">
      <alignment horizontal="right"/>
    </xf>
    <xf numFmtId="165" fontId="0" fillId="0" borderId="0" xfId="0" applyNumberFormat="1"/>
  </cellXfs>
  <cellStyles count="1">
    <cellStyle name="Normal" xfId="0" builtinId="0"/>
  </cellStyles>
  <dxfs count="6"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65" formatCode="yyyy\-mm\-dd;@"/>
    </dxf>
    <dxf>
      <border diagonalUp="0" diagonalDown="0">
        <left/>
        <right style="thin">
          <color indexed="64"/>
        </right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B33D03-E800-4FFB-A3A5-4DADA1133EB7}" name="Table1" displayName="Table1" ref="A1:P104" totalsRowShown="0">
  <autoFilter ref="A1:P104" xr:uid="{93B33D03-E800-4FFB-A3A5-4DADA1133EB7}"/>
  <sortState xmlns:xlrd2="http://schemas.microsoft.com/office/spreadsheetml/2017/richdata2" ref="A2:P1048557">
    <sortCondition ref="A1:A1048557"/>
  </sortState>
  <tableColumns count="16">
    <tableColumn id="1" xr3:uid="{03F59D3F-8EC1-48F2-B283-C2C1D2D1F58F}" name="Test ID" dataDxfId="5"/>
    <tableColumn id="16" xr3:uid="{18E70E92-1314-41C0-A19E-49BC10A20F38}" name="Date" dataDxfId="4"/>
    <tableColumn id="14" xr3:uid="{AF5A9D17-1C72-4224-BCA3-B43BBF1C076C}" name="Fuel ID"/>
    <tableColumn id="2" xr3:uid="{9AE3A9D0-4F50-469B-9383-02087239759A}" name="Fuel before"/>
    <tableColumn id="3" xr3:uid="{A48B8B2C-40AC-461C-A1B8-FAF69566744F}" name="Fuel after"/>
    <tableColumn id="4" xr3:uid="{2D8AEEC8-FBAD-45E0-8AEB-1ACD77E18496}" name="delta Fuel" dataDxfId="3">
      <calculatedColumnFormula>Table1[[#This Row],[Fuel before]]-Table1[[#This Row],[Fuel after]]</calculatedColumnFormula>
    </tableColumn>
    <tableColumn id="5" xr3:uid="{A04EF0CD-37BE-42BF-9EDE-0B28E80DEAE2}" name="Bottle 1 ID"/>
    <tableColumn id="6" xr3:uid="{2FFC2027-2A87-4348-A4E8-39DED3A148EA}" name="Bottle 1 before"/>
    <tableColumn id="7" xr3:uid="{5CF9A313-0EEE-4C4D-B62D-67200F98E8F8}" name="Bottle 1 after"/>
    <tableColumn id="8" xr3:uid="{288BDB6B-9BFA-4ECF-84EE-749F8371F115}" name="delta Bottle 1" dataDxfId="2">
      <calculatedColumnFormula>Table1[[#This Row],[Bottle 1 before]]-Table1[[#This Row],[Bottle 1 after]]</calculatedColumnFormula>
    </tableColumn>
    <tableColumn id="9" xr3:uid="{49D27378-607A-4481-90B4-9F2D86A33DBD}" name="Bottle 2 ID"/>
    <tableColumn id="10" xr3:uid="{C1E26D53-DF2F-4C7C-AA43-9DB9DC773D9B}" name="Bottle 2 before"/>
    <tableColumn id="11" xr3:uid="{18ADD6DA-D16F-4A89-B3AF-0ADE1CD643D1}" name="Bottle 2 after"/>
    <tableColumn id="12" xr3:uid="{9803A9CB-4599-476E-BC6F-EFB9E8CF8A67}" name="delta Bottle 2" dataDxfId="1">
      <calculatedColumnFormula>Table1[[#This Row],[Bottle 2 before]]-Table1[[#This Row],[Bottle 2 after]]</calculatedColumnFormula>
    </tableColumn>
    <tableColumn id="13" xr3:uid="{65C2D98D-E254-44E6-A22C-E9E172000D2F}" name="delta Oxidizer" dataDxfId="0">
      <calculatedColumnFormula>Table1[[#This Row],[delta Bottle 1]]+Table1[[#This Row],[delta Bottle 2]]</calculatedColumnFormula>
    </tableColumn>
    <tableColumn id="15" xr3:uid="{CC7EE83A-D946-4279-8D9E-CAD6B23593A5}" name="Comments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4"/>
  <sheetViews>
    <sheetView tabSelected="1" topLeftCell="A13" zoomScale="90" zoomScaleNormal="90" workbookViewId="0">
      <pane xSplit="1" topLeftCell="B1" activePane="topRight" state="frozen"/>
      <selection pane="topRight" activeCell="O17" sqref="O17"/>
    </sheetView>
  </sheetViews>
  <sheetFormatPr defaultRowHeight="14.5" x14ac:dyDescent="0.35"/>
  <cols>
    <col min="1" max="1" width="9.26953125" style="2"/>
    <col min="2" max="2" width="10.453125" style="9" bestFit="1" customWidth="1"/>
    <col min="3" max="3" width="16.453125" bestFit="1" customWidth="1"/>
    <col min="4" max="4" width="12.453125" bestFit="1" customWidth="1"/>
    <col min="5" max="5" width="11" bestFit="1" customWidth="1"/>
    <col min="6" max="6" width="11.26953125" style="2" bestFit="1" customWidth="1"/>
    <col min="7" max="7" width="11.81640625" bestFit="1" customWidth="1"/>
    <col min="8" max="8" width="15.54296875" bestFit="1" customWidth="1"/>
    <col min="9" max="9" width="14.1796875" bestFit="1" customWidth="1"/>
    <col min="10" max="10" width="14.26953125" style="2" bestFit="1" customWidth="1"/>
    <col min="11" max="11" width="11.81640625" bestFit="1" customWidth="1"/>
    <col min="12" max="12" width="15.54296875" bestFit="1" customWidth="1"/>
    <col min="13" max="13" width="14.1796875" bestFit="1" customWidth="1"/>
    <col min="14" max="14" width="14.26953125" style="2" bestFit="1" customWidth="1"/>
    <col min="15" max="15" width="14.54296875" style="4" bestFit="1" customWidth="1"/>
    <col min="16" max="16" width="155.81640625" customWidth="1"/>
  </cols>
  <sheetData>
    <row r="1" spans="1:16" x14ac:dyDescent="0.35">
      <c r="A1" s="2" t="s">
        <v>0</v>
      </c>
      <c r="B1" s="9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s="2" t="s">
        <v>13</v>
      </c>
      <c r="O1" s="4" t="s">
        <v>14</v>
      </c>
      <c r="P1" t="s">
        <v>15</v>
      </c>
    </row>
    <row r="2" spans="1:16" x14ac:dyDescent="0.35">
      <c r="A2" s="2" t="s">
        <v>16</v>
      </c>
      <c r="B2" s="9">
        <v>45410</v>
      </c>
      <c r="C2" t="s">
        <v>17</v>
      </c>
      <c r="D2" s="1"/>
      <c r="E2" s="1"/>
      <c r="F2" s="3"/>
      <c r="G2" s="1">
        <v>1</v>
      </c>
      <c r="H2" s="1">
        <v>22.8</v>
      </c>
      <c r="I2" s="1">
        <v>21.36</v>
      </c>
      <c r="J2" s="3">
        <f>Table1[[#This Row],[Bottle 1 before]]-Table1[[#This Row],[Bottle 1 after]]</f>
        <v>1.4400000000000013</v>
      </c>
      <c r="K2" s="1" t="s">
        <v>17</v>
      </c>
      <c r="L2" s="1"/>
      <c r="M2" s="1"/>
      <c r="N2" s="3"/>
      <c r="O2" s="5">
        <f>Table1[[#This Row],[delta Bottle 1]]+Table1[[#This Row],[delta Bottle 2]]</f>
        <v>1.4400000000000013</v>
      </c>
    </row>
    <row r="3" spans="1:16" x14ac:dyDescent="0.35">
      <c r="A3" s="2" t="s">
        <v>18</v>
      </c>
      <c r="B3" s="9">
        <v>45413</v>
      </c>
      <c r="C3" t="s">
        <v>17</v>
      </c>
      <c r="D3" s="1"/>
      <c r="E3" s="1"/>
      <c r="F3" s="3"/>
      <c r="G3" s="1">
        <v>1</v>
      </c>
      <c r="H3" s="1">
        <v>21.36</v>
      </c>
      <c r="I3" s="1">
        <v>19.420000000000002</v>
      </c>
      <c r="J3" s="3">
        <f>Table1[[#This Row],[Bottle 1 before]]-Table1[[#This Row],[Bottle 1 after]]</f>
        <v>1.9399999999999977</v>
      </c>
      <c r="K3" s="1" t="s">
        <v>17</v>
      </c>
      <c r="L3" s="1"/>
      <c r="M3" s="1"/>
      <c r="N3" s="3"/>
      <c r="O3" s="5">
        <f>Table1[[#This Row],[delta Bottle 1]]+Table1[[#This Row],[delta Bottle 2]]</f>
        <v>1.9399999999999977</v>
      </c>
    </row>
    <row r="4" spans="1:16" x14ac:dyDescent="0.35">
      <c r="A4" s="2" t="s">
        <v>19</v>
      </c>
      <c r="B4" s="9">
        <v>45417</v>
      </c>
      <c r="C4" t="s">
        <v>17</v>
      </c>
      <c r="D4" s="1"/>
      <c r="E4" s="1"/>
      <c r="F4" s="3"/>
      <c r="G4" s="1">
        <v>1</v>
      </c>
      <c r="H4" s="1">
        <v>19.420000000000002</v>
      </c>
      <c r="I4" s="1">
        <v>17.72</v>
      </c>
      <c r="J4" s="3">
        <f>Table1[[#This Row],[Bottle 1 before]]-Table1[[#This Row],[Bottle 1 after]]</f>
        <v>1.7000000000000028</v>
      </c>
      <c r="K4" s="1" t="s">
        <v>17</v>
      </c>
      <c r="L4" s="1"/>
      <c r="M4" s="1"/>
      <c r="N4" s="3"/>
      <c r="O4" s="5">
        <f>Table1[[#This Row],[delta Bottle 1]]+Table1[[#This Row],[delta Bottle 2]]</f>
        <v>1.7000000000000028</v>
      </c>
    </row>
    <row r="5" spans="1:16" x14ac:dyDescent="0.35">
      <c r="A5" s="2" t="s">
        <v>20</v>
      </c>
      <c r="B5" s="9">
        <v>45421</v>
      </c>
      <c r="C5" t="s">
        <v>17</v>
      </c>
      <c r="D5" s="1"/>
      <c r="E5" s="1"/>
      <c r="F5" s="3"/>
      <c r="G5" s="1">
        <v>1</v>
      </c>
      <c r="H5" s="1"/>
      <c r="I5" s="1"/>
      <c r="J5" s="3">
        <f>Table1[[#This Row],[Bottle 1 before]]-Table1[[#This Row],[Bottle 1 after]]</f>
        <v>0</v>
      </c>
      <c r="K5" s="1" t="s">
        <v>17</v>
      </c>
      <c r="L5" s="1"/>
      <c r="M5" s="1"/>
      <c r="N5" s="3"/>
      <c r="O5" s="5">
        <f>Table1[[#This Row],[delta Bottle 1]]+Table1[[#This Row],[delta Bottle 2]]</f>
        <v>0</v>
      </c>
      <c r="P5" t="s">
        <v>21</v>
      </c>
    </row>
    <row r="6" spans="1:16" x14ac:dyDescent="0.35">
      <c r="A6" s="2" t="s">
        <v>22</v>
      </c>
      <c r="B6" s="9">
        <v>45613</v>
      </c>
      <c r="C6" t="s">
        <v>17</v>
      </c>
      <c r="D6" s="1"/>
      <c r="E6" s="1"/>
      <c r="F6" s="3"/>
      <c r="G6" s="1">
        <v>3</v>
      </c>
      <c r="H6" s="1">
        <v>20.46</v>
      </c>
      <c r="I6" s="1">
        <v>18.96</v>
      </c>
      <c r="J6" s="3">
        <f>Table1[[#This Row],[Bottle 1 before]]-Table1[[#This Row],[Bottle 1 after]]</f>
        <v>1.5</v>
      </c>
      <c r="K6" s="1">
        <v>4</v>
      </c>
      <c r="L6" s="1">
        <v>22.58</v>
      </c>
      <c r="M6" s="1">
        <v>21.36</v>
      </c>
      <c r="N6" s="3">
        <f>Table1[[#This Row],[Bottle 2 before]]-Table1[[#This Row],[Bottle 2 after]]</f>
        <v>1.2199999999999989</v>
      </c>
      <c r="O6" s="5">
        <f>Table1[[#This Row],[delta Bottle 1]]+Table1[[#This Row],[delta Bottle 2]]</f>
        <v>2.7199999999999989</v>
      </c>
    </row>
    <row r="7" spans="1:16" x14ac:dyDescent="0.35">
      <c r="A7" s="2" t="s">
        <v>23</v>
      </c>
      <c r="B7" s="9">
        <v>45613</v>
      </c>
      <c r="C7" t="s">
        <v>17</v>
      </c>
      <c r="D7" s="1"/>
      <c r="E7" s="1"/>
      <c r="F7" s="3"/>
      <c r="G7" s="1">
        <v>3</v>
      </c>
      <c r="H7" s="1">
        <v>18.96</v>
      </c>
      <c r="I7" s="1">
        <v>17.86</v>
      </c>
      <c r="J7" s="3">
        <f>Table1[[#This Row],[Bottle 1 before]]-Table1[[#This Row],[Bottle 1 after]]</f>
        <v>1.1000000000000014</v>
      </c>
      <c r="K7" s="1">
        <v>4</v>
      </c>
      <c r="L7" s="1">
        <v>21.36</v>
      </c>
      <c r="M7" s="1">
        <v>20.260000000000002</v>
      </c>
      <c r="N7" s="3">
        <f>Table1[[#This Row],[Bottle 2 before]]-Table1[[#This Row],[Bottle 2 after]]</f>
        <v>1.0999999999999979</v>
      </c>
      <c r="O7" s="5">
        <f>Table1[[#This Row],[delta Bottle 1]]+Table1[[#This Row],[delta Bottle 2]]</f>
        <v>2.1999999999999993</v>
      </c>
    </row>
    <row r="8" spans="1:16" x14ac:dyDescent="0.35">
      <c r="A8" s="2" t="s">
        <v>24</v>
      </c>
      <c r="B8" s="9">
        <v>45689</v>
      </c>
      <c r="C8" t="s">
        <v>17</v>
      </c>
      <c r="D8" s="1"/>
      <c r="E8" s="1"/>
      <c r="F8" s="3"/>
      <c r="G8" s="1">
        <v>4</v>
      </c>
      <c r="H8" s="1">
        <v>20.399999999999999</v>
      </c>
      <c r="I8" s="1">
        <v>18.739999999999998</v>
      </c>
      <c r="J8" s="3">
        <f>Table1[[#This Row],[Bottle 1 before]]-Table1[[#This Row],[Bottle 1 after]]</f>
        <v>1.6600000000000001</v>
      </c>
      <c r="K8" s="1">
        <v>5</v>
      </c>
      <c r="L8" s="1">
        <v>20.16</v>
      </c>
      <c r="M8" s="1">
        <v>18.96</v>
      </c>
      <c r="N8" s="3">
        <f>Table1[[#This Row],[Bottle 2 before]]-Table1[[#This Row],[Bottle 2 after]]</f>
        <v>1.1999999999999993</v>
      </c>
      <c r="O8" s="5">
        <f>Table1[[#This Row],[delta Bottle 1]]+Table1[[#This Row],[delta Bottle 2]]</f>
        <v>2.8599999999999994</v>
      </c>
    </row>
    <row r="9" spans="1:16" x14ac:dyDescent="0.35">
      <c r="A9" s="2" t="s">
        <v>25</v>
      </c>
      <c r="B9" s="9">
        <v>45710</v>
      </c>
      <c r="C9" t="s">
        <v>17</v>
      </c>
      <c r="D9" s="1"/>
      <c r="E9" s="1"/>
      <c r="F9" s="3"/>
      <c r="G9" s="1">
        <v>5</v>
      </c>
      <c r="H9" s="1">
        <v>18.399999999999999</v>
      </c>
      <c r="I9" s="1">
        <v>16.02</v>
      </c>
      <c r="J9" s="3">
        <f>Table1[[#This Row],[Bottle 1 before]]-Table1[[#This Row],[Bottle 1 after]]</f>
        <v>2.379999999999999</v>
      </c>
      <c r="K9" s="1">
        <v>6</v>
      </c>
      <c r="L9" s="1">
        <v>17.940000000000001</v>
      </c>
      <c r="M9" s="1">
        <v>18</v>
      </c>
      <c r="N9" s="3">
        <f>Table1[[#This Row],[Bottle 2 before]]-Table1[[#This Row],[Bottle 2 after]]</f>
        <v>-5.9999999999998721E-2</v>
      </c>
      <c r="O9" s="5">
        <f>Table1[[#This Row],[delta Bottle 1]]+Table1[[#This Row],[delta Bottle 2]]</f>
        <v>2.3200000000000003</v>
      </c>
    </row>
    <row r="10" spans="1:16" x14ac:dyDescent="0.35">
      <c r="A10" s="2" t="s">
        <v>26</v>
      </c>
      <c r="B10" s="9">
        <v>45719</v>
      </c>
      <c r="C10" t="s">
        <v>17</v>
      </c>
      <c r="D10" s="1"/>
      <c r="E10" s="1"/>
      <c r="F10" s="3"/>
      <c r="G10" s="1"/>
      <c r="H10" s="1">
        <v>23.48</v>
      </c>
      <c r="I10" s="1">
        <v>23.02</v>
      </c>
      <c r="J10" s="3">
        <f>Table1[[#This Row],[Bottle 1 before]]-Table1[[#This Row],[Bottle 1 after]]</f>
        <v>0.46000000000000085</v>
      </c>
      <c r="K10" s="1"/>
      <c r="L10" s="1">
        <v>23.46</v>
      </c>
      <c r="M10" s="1">
        <v>22.76</v>
      </c>
      <c r="N10" s="3">
        <f>Table1[[#This Row],[Bottle 2 before]]-Table1[[#This Row],[Bottle 2 after]]</f>
        <v>0.69999999999999929</v>
      </c>
      <c r="O10" s="5">
        <f>Table1[[#This Row],[delta Bottle 1]]+Table1[[#This Row],[delta Bottle 2]]</f>
        <v>1.1600000000000001</v>
      </c>
    </row>
    <row r="11" spans="1:16" x14ac:dyDescent="0.35">
      <c r="A11" s="2" t="s">
        <v>27</v>
      </c>
      <c r="B11" s="9">
        <v>45794</v>
      </c>
      <c r="C11" t="s">
        <v>17</v>
      </c>
      <c r="D11" s="1"/>
      <c r="E11" s="1"/>
      <c r="F11" s="3"/>
      <c r="G11" s="1">
        <v>9</v>
      </c>
      <c r="H11" s="1">
        <v>22.597999999999999</v>
      </c>
      <c r="I11" s="1">
        <v>22.309000000000001</v>
      </c>
      <c r="J11" s="3">
        <f>Table1[[#This Row],[Bottle 1 before]]-Table1[[#This Row],[Bottle 1 after]]</f>
        <v>0.28899999999999793</v>
      </c>
      <c r="K11" s="1">
        <v>10</v>
      </c>
      <c r="L11" s="1">
        <v>19.274000000000001</v>
      </c>
      <c r="M11" s="1">
        <v>18.657</v>
      </c>
      <c r="N11" s="3">
        <f>Table1[[#This Row],[Bottle 2 before]]-Table1[[#This Row],[Bottle 2 after]]</f>
        <v>0.61700000000000088</v>
      </c>
      <c r="O11" s="5">
        <f>Table1[[#This Row],[delta Bottle 1]]+Table1[[#This Row],[delta Bottle 2]]</f>
        <v>0.90599999999999881</v>
      </c>
      <c r="P11" t="s">
        <v>28</v>
      </c>
    </row>
    <row r="12" spans="1:16" x14ac:dyDescent="0.35">
      <c r="A12" s="2" t="s">
        <v>29</v>
      </c>
      <c r="B12" s="9">
        <v>45794</v>
      </c>
      <c r="C12" t="s">
        <v>17</v>
      </c>
      <c r="D12" s="1"/>
      <c r="E12" s="1"/>
      <c r="F12" s="3"/>
      <c r="G12" s="1">
        <v>9</v>
      </c>
      <c r="H12" s="1">
        <v>22.309000000000001</v>
      </c>
      <c r="I12" s="1">
        <v>22.117999999999999</v>
      </c>
      <c r="J12" s="3">
        <f>Table1[[#This Row],[Bottle 1 before]]-Table1[[#This Row],[Bottle 1 after]]</f>
        <v>0.1910000000000025</v>
      </c>
      <c r="K12" s="1">
        <v>10</v>
      </c>
      <c r="L12" s="1">
        <v>18.657</v>
      </c>
      <c r="M12" s="1">
        <v>18.135999999999999</v>
      </c>
      <c r="N12" s="3">
        <f>Table1[[#This Row],[Bottle 2 before]]-Table1[[#This Row],[Bottle 2 after]]</f>
        <v>0.5210000000000008</v>
      </c>
      <c r="O12" s="5">
        <f>Table1[[#This Row],[delta Bottle 1]]+Table1[[#This Row],[delta Bottle 2]]</f>
        <v>0.7120000000000033</v>
      </c>
      <c r="P12" t="s">
        <v>28</v>
      </c>
    </row>
    <row r="13" spans="1:16" x14ac:dyDescent="0.35">
      <c r="A13" s="2" t="s">
        <v>30</v>
      </c>
      <c r="B13" s="9">
        <v>45794</v>
      </c>
      <c r="C13" t="s">
        <v>17</v>
      </c>
      <c r="D13" s="1"/>
      <c r="E13" s="1"/>
      <c r="F13" s="3"/>
      <c r="G13" s="1">
        <v>10</v>
      </c>
      <c r="H13" s="1">
        <v>18.135999999999999</v>
      </c>
      <c r="I13" s="1">
        <v>17.795999999999999</v>
      </c>
      <c r="J13" s="3">
        <f>Table1[[#This Row],[Bottle 1 before]]-Table1[[#This Row],[Bottle 1 after]]</f>
        <v>0.33999999999999986</v>
      </c>
      <c r="K13" s="1">
        <v>9</v>
      </c>
      <c r="L13" s="1">
        <v>22.117999999999999</v>
      </c>
      <c r="M13" s="1">
        <v>21.536000000000001</v>
      </c>
      <c r="N13" s="3">
        <f>Table1[[#This Row],[Bottle 2 before]]-Table1[[#This Row],[Bottle 2 after]]</f>
        <v>0.58199999999999719</v>
      </c>
      <c r="O13" s="5">
        <f>Table1[[#This Row],[delta Bottle 1]]+Table1[[#This Row],[delta Bottle 2]]</f>
        <v>0.92199999999999704</v>
      </c>
      <c r="P13" t="s">
        <v>28</v>
      </c>
    </row>
    <row r="14" spans="1:16" x14ac:dyDescent="0.35">
      <c r="A14" s="2" t="s">
        <v>31</v>
      </c>
      <c r="B14" s="9">
        <v>45906</v>
      </c>
      <c r="C14" t="s">
        <v>17</v>
      </c>
      <c r="D14" s="1"/>
      <c r="E14" s="1"/>
      <c r="F14" s="3"/>
      <c r="G14" s="1">
        <v>9</v>
      </c>
      <c r="H14" s="1">
        <v>21.55</v>
      </c>
      <c r="I14" s="1">
        <v>20.884</v>
      </c>
      <c r="J14" s="3">
        <f>Table1[[#This Row],[Bottle 1 before]]-Table1[[#This Row],[Bottle 1 after]]</f>
        <v>0.66600000000000037</v>
      </c>
      <c r="K14" s="1">
        <v>10</v>
      </c>
      <c r="L14" s="1">
        <v>17.809999999999999</v>
      </c>
      <c r="M14" s="1">
        <v>17.440000000000001</v>
      </c>
      <c r="N14" s="3">
        <f>Table1[[#This Row],[Bottle 2 before]]-Table1[[#This Row],[Bottle 2 after]]</f>
        <v>0.36999999999999744</v>
      </c>
      <c r="O14" s="5">
        <f>Table1[[#This Row],[delta Bottle 1]]+Table1[[#This Row],[delta Bottle 2]]</f>
        <v>1.0359999999999978</v>
      </c>
    </row>
    <row r="15" spans="1:16" x14ac:dyDescent="0.35">
      <c r="A15" s="2" t="s">
        <v>71</v>
      </c>
      <c r="B15" s="9">
        <v>45927</v>
      </c>
      <c r="C15" t="s">
        <v>17</v>
      </c>
      <c r="G15" s="1">
        <v>11</v>
      </c>
      <c r="H15" s="1">
        <v>21.007999999999999</v>
      </c>
      <c r="I15" s="1">
        <v>20.48</v>
      </c>
      <c r="J15" s="3">
        <f>Table1[[#This Row],[Bottle 1 before]]-Table1[[#This Row],[Bottle 1 after]]</f>
        <v>0.52799999999999869</v>
      </c>
      <c r="K15" s="1">
        <v>12</v>
      </c>
      <c r="L15" s="1">
        <v>23.71</v>
      </c>
      <c r="M15" s="1">
        <v>23.141999999999999</v>
      </c>
      <c r="N15" s="3">
        <f>Table1[[#This Row],[Bottle 2 before]]-Table1[[#This Row],[Bottle 2 after]]</f>
        <v>0.56800000000000139</v>
      </c>
      <c r="O15" s="5">
        <f>Table1[[#This Row],[delta Bottle 1]]+Table1[[#This Row],[delta Bottle 2]]</f>
        <v>1.0960000000000001</v>
      </c>
    </row>
    <row r="16" spans="1:16" x14ac:dyDescent="0.35">
      <c r="A16" s="2" t="s">
        <v>79</v>
      </c>
      <c r="B16" s="9">
        <v>45942</v>
      </c>
      <c r="G16" s="1">
        <v>11</v>
      </c>
      <c r="H16" s="1">
        <v>20.481999999999999</v>
      </c>
      <c r="I16" s="1">
        <v>19.920000000000002</v>
      </c>
      <c r="J16" s="3">
        <f>Table1[[#This Row],[Bottle 1 before]]-Table1[[#This Row],[Bottle 1 after]]</f>
        <v>0.56199999999999761</v>
      </c>
      <c r="K16" s="1">
        <v>12</v>
      </c>
      <c r="L16" s="1">
        <v>23.135999999999999</v>
      </c>
      <c r="M16" s="1">
        <v>22.09</v>
      </c>
      <c r="N16" s="3">
        <f>Table1[[#This Row],[Bottle 2 before]]-Table1[[#This Row],[Bottle 2 after]]</f>
        <v>1.0459999999999994</v>
      </c>
      <c r="O16" s="5">
        <f>Table1[[#This Row],[delta Bottle 1]]+Table1[[#This Row],[delta Bottle 2]]</f>
        <v>1.607999999999997</v>
      </c>
    </row>
    <row r="17" spans="1:16" x14ac:dyDescent="0.35">
      <c r="A17" s="2" t="s">
        <v>80</v>
      </c>
      <c r="B17" s="9">
        <v>45942</v>
      </c>
      <c r="G17" s="1">
        <v>11</v>
      </c>
      <c r="H17" s="1">
        <v>19.920000000000002</v>
      </c>
      <c r="I17">
        <v>19.18</v>
      </c>
      <c r="J17" s="3">
        <f>Table1[[#This Row],[Bottle 1 before]]-Table1[[#This Row],[Bottle 1 after]]</f>
        <v>0.74000000000000199</v>
      </c>
      <c r="K17">
        <v>12</v>
      </c>
      <c r="L17" s="1">
        <v>22.09</v>
      </c>
      <c r="M17">
        <v>20.96</v>
      </c>
      <c r="N17" s="2">
        <f>Table1[[#This Row],[Bottle 2 before]]-Table1[[#This Row],[Bottle 2 after]]</f>
        <v>1.129999999999999</v>
      </c>
      <c r="O17" s="4">
        <f>Table1[[#This Row],[delta Bottle 1]]+Table1[[#This Row],[delta Bottle 2]]</f>
        <v>1.870000000000001</v>
      </c>
    </row>
    <row r="18" spans="1:16" x14ac:dyDescent="0.35">
      <c r="A18" s="2" t="s">
        <v>72</v>
      </c>
      <c r="J18" s="3">
        <f>Table1[[#This Row],[Bottle 1 before]]-Table1[[#This Row],[Bottle 1 after]]</f>
        <v>0</v>
      </c>
      <c r="N18" s="2">
        <f>Table1[[#This Row],[Bottle 2 before]]-Table1[[#This Row],[Bottle 2 after]]</f>
        <v>0</v>
      </c>
      <c r="O18" s="4">
        <f>Table1[[#This Row],[delta Bottle 1]]+Table1[[#This Row],[delta Bottle 2]]</f>
        <v>0</v>
      </c>
    </row>
    <row r="19" spans="1:16" x14ac:dyDescent="0.35">
      <c r="A19" s="2" t="s">
        <v>73</v>
      </c>
      <c r="J19" s="2">
        <f>Table1[[#This Row],[Bottle 1 before]]-Table1[[#This Row],[Bottle 1 after]]</f>
        <v>0</v>
      </c>
      <c r="N19" s="2">
        <f>Table1[[#This Row],[Bottle 2 before]]-Table1[[#This Row],[Bottle 2 after]]</f>
        <v>0</v>
      </c>
      <c r="O19" s="4">
        <f>Table1[[#This Row],[delta Bottle 1]]+Table1[[#This Row],[delta Bottle 2]]</f>
        <v>0</v>
      </c>
    </row>
    <row r="20" spans="1:16" x14ac:dyDescent="0.35">
      <c r="A20" s="2" t="s">
        <v>74</v>
      </c>
      <c r="J20" s="2">
        <f>Table1[[#This Row],[Bottle 1 before]]-Table1[[#This Row],[Bottle 1 after]]</f>
        <v>0</v>
      </c>
      <c r="N20" s="2">
        <f>Table1[[#This Row],[Bottle 2 before]]-Table1[[#This Row],[Bottle 2 after]]</f>
        <v>0</v>
      </c>
      <c r="O20" s="4">
        <f>Table1[[#This Row],[delta Bottle 1]]+Table1[[#This Row],[delta Bottle 2]]</f>
        <v>0</v>
      </c>
    </row>
    <row r="21" spans="1:16" x14ac:dyDescent="0.35">
      <c r="A21" s="2" t="s">
        <v>75</v>
      </c>
      <c r="J21" s="2">
        <f>Table1[[#This Row],[Bottle 1 before]]-Table1[[#This Row],[Bottle 1 after]]</f>
        <v>0</v>
      </c>
      <c r="N21" s="2">
        <f>Table1[[#This Row],[Bottle 2 before]]-Table1[[#This Row],[Bottle 2 after]]</f>
        <v>0</v>
      </c>
      <c r="O21" s="4">
        <f>Table1[[#This Row],[delta Bottle 1]]+Table1[[#This Row],[delta Bottle 2]]</f>
        <v>0</v>
      </c>
    </row>
    <row r="22" spans="1:16" x14ac:dyDescent="0.35">
      <c r="A22" s="2" t="s">
        <v>76</v>
      </c>
      <c r="J22" s="2">
        <f>Table1[[#This Row],[Bottle 1 before]]-Table1[[#This Row],[Bottle 1 after]]</f>
        <v>0</v>
      </c>
      <c r="N22" s="2">
        <f>Table1[[#This Row],[Bottle 2 before]]-Table1[[#This Row],[Bottle 2 after]]</f>
        <v>0</v>
      </c>
      <c r="O22" s="4">
        <f>Table1[[#This Row],[delta Bottle 1]]+Table1[[#This Row],[delta Bottle 2]]</f>
        <v>0</v>
      </c>
    </row>
    <row r="23" spans="1:16" x14ac:dyDescent="0.35">
      <c r="A23" s="2" t="s">
        <v>77</v>
      </c>
      <c r="J23" s="2">
        <f>Table1[[#This Row],[Bottle 1 before]]-Table1[[#This Row],[Bottle 1 after]]</f>
        <v>0</v>
      </c>
      <c r="N23" s="2">
        <f>Table1[[#This Row],[Bottle 2 before]]-Table1[[#This Row],[Bottle 2 after]]</f>
        <v>0</v>
      </c>
      <c r="O23" s="4">
        <f>Table1[[#This Row],[delta Bottle 1]]+Table1[[#This Row],[delta Bottle 2]]</f>
        <v>0</v>
      </c>
    </row>
    <row r="24" spans="1:16" x14ac:dyDescent="0.35">
      <c r="A24" s="2" t="s">
        <v>78</v>
      </c>
      <c r="J24" s="2">
        <f>Table1[[#This Row],[Bottle 1 before]]-Table1[[#This Row],[Bottle 1 after]]</f>
        <v>0</v>
      </c>
      <c r="N24" s="2">
        <f>Table1[[#This Row],[Bottle 2 before]]-Table1[[#This Row],[Bottle 2 after]]</f>
        <v>0</v>
      </c>
      <c r="O24" s="4">
        <f>Table1[[#This Row],[delta Bottle 1]]+Table1[[#This Row],[delta Bottle 2]]</f>
        <v>0</v>
      </c>
    </row>
    <row r="25" spans="1:16" x14ac:dyDescent="0.35">
      <c r="A25" s="2" t="s">
        <v>32</v>
      </c>
      <c r="B25" s="9">
        <v>45424</v>
      </c>
      <c r="C25" t="s">
        <v>33</v>
      </c>
      <c r="D25" s="7">
        <v>0.66679999999999995</v>
      </c>
      <c r="E25" s="7">
        <v>0.35520000000000002</v>
      </c>
      <c r="F25" s="8">
        <f>Table1[[#This Row],[Fuel before]]-Table1[[#This Row],[Fuel after]]</f>
        <v>0.31159999999999993</v>
      </c>
      <c r="G25" s="1">
        <v>2</v>
      </c>
      <c r="H25" s="1">
        <v>20.62</v>
      </c>
      <c r="I25" s="1">
        <v>19.64</v>
      </c>
      <c r="J25" s="3">
        <f>Table1[[#This Row],[Bottle 1 before]]-Table1[[#This Row],[Bottle 1 after]]</f>
        <v>0.98000000000000043</v>
      </c>
      <c r="K25" s="1" t="s">
        <v>17</v>
      </c>
      <c r="L25" s="1"/>
      <c r="M25" s="1"/>
      <c r="N25" s="3"/>
      <c r="O25" s="5">
        <f>Table1[[#This Row],[delta Bottle 1]]+Table1[[#This Row],[delta Bottle 2]]</f>
        <v>0.98000000000000043</v>
      </c>
    </row>
    <row r="26" spans="1:16" x14ac:dyDescent="0.35">
      <c r="A26" s="2" t="s">
        <v>34</v>
      </c>
      <c r="B26" s="9">
        <v>45431</v>
      </c>
      <c r="C26" t="s">
        <v>35</v>
      </c>
      <c r="D26" s="7">
        <v>0.68089999999999995</v>
      </c>
      <c r="E26" s="7">
        <v>0.41538000000000003</v>
      </c>
      <c r="F26" s="8">
        <f>Table1[[#This Row],[Fuel before]]-Table1[[#This Row],[Fuel after]]</f>
        <v>0.26551999999999992</v>
      </c>
      <c r="G26" s="1">
        <v>2</v>
      </c>
      <c r="H26" s="1">
        <v>19.64</v>
      </c>
      <c r="I26" s="1">
        <v>18.48</v>
      </c>
      <c r="J26" s="3">
        <f>Table1[[#This Row],[Bottle 1 before]]-Table1[[#This Row],[Bottle 1 after]]</f>
        <v>1.1600000000000001</v>
      </c>
      <c r="K26" s="1" t="s">
        <v>17</v>
      </c>
      <c r="L26" s="1"/>
      <c r="M26" s="1"/>
      <c r="N26" s="3"/>
      <c r="O26" s="5">
        <f>Table1[[#This Row],[delta Bottle 1]]+Table1[[#This Row],[delta Bottle 2]]</f>
        <v>1.1600000000000001</v>
      </c>
    </row>
    <row r="27" spans="1:16" x14ac:dyDescent="0.35">
      <c r="A27" s="2" t="s">
        <v>36</v>
      </c>
      <c r="B27" s="9">
        <v>45445</v>
      </c>
      <c r="C27" t="s">
        <v>37</v>
      </c>
      <c r="D27" s="7">
        <v>0.68959999999999999</v>
      </c>
      <c r="E27" s="7">
        <v>0.67030000000000001</v>
      </c>
      <c r="F27" s="8">
        <f>Table1[[#This Row],[Fuel before]]-Table1[[#This Row],[Fuel after]]</f>
        <v>1.9299999999999984E-2</v>
      </c>
      <c r="G27" s="1">
        <v>2</v>
      </c>
      <c r="H27" s="1">
        <v>18.48</v>
      </c>
      <c r="I27" s="1">
        <v>18.34</v>
      </c>
      <c r="J27" s="3">
        <f>Table1[[#This Row],[Bottle 1 before]]-Table1[[#This Row],[Bottle 1 after]]</f>
        <v>0.14000000000000057</v>
      </c>
      <c r="K27" s="1" t="s">
        <v>17</v>
      </c>
      <c r="L27" s="1"/>
      <c r="M27" s="1"/>
      <c r="N27" s="3"/>
      <c r="O27" s="5">
        <f>Table1[[#This Row],[delta Bottle 1]]+Table1[[#This Row],[delta Bottle 2]]</f>
        <v>0.14000000000000057</v>
      </c>
      <c r="P27" t="s">
        <v>38</v>
      </c>
    </row>
    <row r="28" spans="1:16" x14ac:dyDescent="0.35">
      <c r="A28" s="2" t="s">
        <v>39</v>
      </c>
      <c r="B28" s="9">
        <v>45469</v>
      </c>
      <c r="C28" t="s">
        <v>40</v>
      </c>
      <c r="D28" s="7">
        <v>0.66810000000000003</v>
      </c>
      <c r="E28" s="7">
        <v>0.23349</v>
      </c>
      <c r="F28" s="8">
        <f>Table1[[#This Row],[Fuel before]]-Table1[[#This Row],[Fuel after]]</f>
        <v>0.43461000000000005</v>
      </c>
      <c r="G28" s="1">
        <v>2</v>
      </c>
      <c r="H28" s="1">
        <v>18.34</v>
      </c>
      <c r="I28" s="1">
        <v>16.940000000000001</v>
      </c>
      <c r="J28" s="3">
        <f>Table1[[#This Row],[Bottle 1 before]]-Table1[[#This Row],[Bottle 1 after]]</f>
        <v>1.3999999999999986</v>
      </c>
      <c r="K28" s="1" t="s">
        <v>17</v>
      </c>
      <c r="L28" s="1"/>
      <c r="M28" s="1"/>
      <c r="N28" s="3"/>
      <c r="O28" s="5">
        <f>Table1[[#This Row],[delta Bottle 1]]+Table1[[#This Row],[delta Bottle 2]]</f>
        <v>1.3999999999999986</v>
      </c>
    </row>
    <row r="29" spans="1:16" x14ac:dyDescent="0.35">
      <c r="A29" s="2" t="s">
        <v>41</v>
      </c>
      <c r="B29" s="9">
        <v>45536</v>
      </c>
      <c r="C29" t="s">
        <v>42</v>
      </c>
      <c r="D29" s="7">
        <v>0.68899999999999995</v>
      </c>
      <c r="E29" s="7">
        <v>0.36547000000000002</v>
      </c>
      <c r="F29" s="8">
        <f>Table1[[#This Row],[Fuel before]]-Table1[[#This Row],[Fuel after]]</f>
        <v>0.32352999999999993</v>
      </c>
      <c r="G29" s="1">
        <v>3</v>
      </c>
      <c r="H29" s="1">
        <v>22.84</v>
      </c>
      <c r="I29" s="1">
        <v>21.66</v>
      </c>
      <c r="J29" s="3">
        <f>Table1[[#This Row],[Bottle 1 before]]-Table1[[#This Row],[Bottle 1 after]]</f>
        <v>1.1799999999999997</v>
      </c>
      <c r="K29" s="1" t="s">
        <v>17</v>
      </c>
      <c r="L29" s="1"/>
      <c r="M29" s="1"/>
      <c r="N29" s="3"/>
      <c r="O29" s="5">
        <f>Table1[[#This Row],[delta Bottle 1]]+Table1[[#This Row],[delta Bottle 2]]</f>
        <v>1.1799999999999997</v>
      </c>
    </row>
    <row r="30" spans="1:16" x14ac:dyDescent="0.35">
      <c r="A30" s="2" t="s">
        <v>43</v>
      </c>
      <c r="B30" s="9">
        <v>45543</v>
      </c>
      <c r="C30" t="s">
        <v>44</v>
      </c>
      <c r="D30" s="7">
        <v>0.68577999999999995</v>
      </c>
      <c r="E30" s="7">
        <v>0.22728999999999999</v>
      </c>
      <c r="F30" s="8">
        <f>Table1[[#This Row],[Fuel before]]-Table1[[#This Row],[Fuel after]]</f>
        <v>0.45848999999999995</v>
      </c>
      <c r="G30" s="1">
        <v>3</v>
      </c>
      <c r="H30" s="1">
        <v>21.66</v>
      </c>
      <c r="I30" s="1">
        <v>20.36</v>
      </c>
      <c r="J30" s="3">
        <f>Table1[[#This Row],[Bottle 1 before]]-Table1[[#This Row],[Bottle 1 after]]</f>
        <v>1.3000000000000007</v>
      </c>
      <c r="K30" s="1" t="s">
        <v>17</v>
      </c>
      <c r="L30" s="1"/>
      <c r="M30" s="1"/>
      <c r="N30" s="3"/>
      <c r="O30" s="5">
        <f>Table1[[#This Row],[delta Bottle 1]]+Table1[[#This Row],[delta Bottle 2]]</f>
        <v>1.3000000000000007</v>
      </c>
    </row>
    <row r="31" spans="1:16" x14ac:dyDescent="0.35">
      <c r="A31" s="2" t="s">
        <v>45</v>
      </c>
      <c r="B31" s="9">
        <v>45619</v>
      </c>
      <c r="C31" t="s">
        <v>46</v>
      </c>
      <c r="D31" s="7">
        <v>0.69289999999999996</v>
      </c>
      <c r="E31" s="7">
        <v>0.33839999999999998</v>
      </c>
      <c r="F31" s="8">
        <f>Table1[[#This Row],[Fuel before]]-Table1[[#This Row],[Fuel after]]</f>
        <v>0.35449999999999998</v>
      </c>
      <c r="G31" s="1">
        <v>5</v>
      </c>
      <c r="H31" s="1">
        <v>22.88</v>
      </c>
      <c r="I31" s="1">
        <v>21.9</v>
      </c>
      <c r="J31" s="3">
        <f>Table1[[#This Row],[Bottle 1 before]]-Table1[[#This Row],[Bottle 1 after]]</f>
        <v>0.98000000000000043</v>
      </c>
      <c r="K31" s="1">
        <v>6</v>
      </c>
      <c r="L31" s="1">
        <v>25.52</v>
      </c>
      <c r="M31" s="1">
        <v>24.12</v>
      </c>
      <c r="N31" s="3">
        <f>Table1[[#This Row],[Bottle 2 before]]-Table1[[#This Row],[Bottle 2 after]]</f>
        <v>1.3999999999999986</v>
      </c>
      <c r="O31" s="5">
        <f>Table1[[#This Row],[delta Bottle 1]]+Table1[[#This Row],[delta Bottle 2]]</f>
        <v>2.379999999999999</v>
      </c>
    </row>
    <row r="32" spans="1:16" x14ac:dyDescent="0.35">
      <c r="A32" s="2" t="s">
        <v>47</v>
      </c>
      <c r="B32" s="9">
        <v>45640</v>
      </c>
      <c r="C32" t="s">
        <v>48</v>
      </c>
      <c r="D32" s="7">
        <v>0.68830000000000002</v>
      </c>
      <c r="E32" s="7">
        <v>0</v>
      </c>
      <c r="F32" s="8">
        <f>Table1[[#This Row],[Fuel before]]-Table1[[#This Row],[Fuel after]]</f>
        <v>0.68830000000000002</v>
      </c>
      <c r="G32" s="1">
        <v>5</v>
      </c>
      <c r="H32" s="1">
        <v>21.9</v>
      </c>
      <c r="I32" s="1">
        <v>20.16</v>
      </c>
      <c r="J32" s="3" t="s">
        <v>49</v>
      </c>
      <c r="K32" s="1">
        <v>6</v>
      </c>
      <c r="L32" s="1">
        <v>24.14</v>
      </c>
      <c r="M32" s="1">
        <v>18.28</v>
      </c>
      <c r="N32" s="3" t="s">
        <v>50</v>
      </c>
      <c r="O32" s="5">
        <f>1.42+0.66</f>
        <v>2.08</v>
      </c>
      <c r="P32" t="s">
        <v>51</v>
      </c>
    </row>
    <row r="33" spans="1:16" x14ac:dyDescent="0.35">
      <c r="A33" s="2" t="s">
        <v>52</v>
      </c>
      <c r="B33" s="9">
        <v>45689</v>
      </c>
      <c r="D33" s="7">
        <v>0.69530000000000003</v>
      </c>
      <c r="E33" s="7">
        <v>0.27679999999999999</v>
      </c>
      <c r="F33" s="8">
        <f>Table1[[#This Row],[Fuel before]]-Table1[[#This Row],[Fuel after]]</f>
        <v>0.41850000000000004</v>
      </c>
      <c r="G33" s="1">
        <v>4</v>
      </c>
      <c r="H33" s="1">
        <v>18.739999999999998</v>
      </c>
      <c r="I33" s="1">
        <v>17.64</v>
      </c>
      <c r="J33" s="3">
        <f>Table1[[#This Row],[Bottle 1 before]]-Table1[[#This Row],[Bottle 1 after]]</f>
        <v>1.0999999999999979</v>
      </c>
      <c r="K33" s="1">
        <v>5</v>
      </c>
      <c r="L33" s="1">
        <v>18.96</v>
      </c>
      <c r="M33" s="1">
        <v>18.260000000000002</v>
      </c>
      <c r="N33" s="3">
        <f>Table1[[#This Row],[Bottle 2 before]]-Table1[[#This Row],[Bottle 2 after]]</f>
        <v>0.69999999999999929</v>
      </c>
      <c r="O33" s="5">
        <f>Table1[[#This Row],[delta Bottle 1]]+Table1[[#This Row],[delta Bottle 2]]</f>
        <v>1.7999999999999972</v>
      </c>
    </row>
    <row r="34" spans="1:16" x14ac:dyDescent="0.35">
      <c r="A34" s="2" t="s">
        <v>53</v>
      </c>
      <c r="B34" s="9">
        <v>45739</v>
      </c>
      <c r="C34" t="s">
        <v>54</v>
      </c>
      <c r="D34" s="7">
        <v>0.69369999999999998</v>
      </c>
      <c r="E34" s="7">
        <v>0</v>
      </c>
      <c r="F34" s="8">
        <f>Table1[[#This Row],[Fuel before]]-Table1[[#This Row],[Fuel after]]</f>
        <v>0.69369999999999998</v>
      </c>
      <c r="G34" s="1">
        <v>7</v>
      </c>
      <c r="H34" s="1">
        <v>23.02</v>
      </c>
      <c r="I34" s="1">
        <v>21.7</v>
      </c>
      <c r="J34" s="3">
        <f>Table1[[#This Row],[Bottle 1 before]]-Table1[[#This Row],[Bottle 1 after]]</f>
        <v>1.3200000000000003</v>
      </c>
      <c r="K34" s="1">
        <v>8</v>
      </c>
      <c r="L34" s="1">
        <v>22.76</v>
      </c>
      <c r="M34" s="1">
        <v>21.94</v>
      </c>
      <c r="N34" s="3">
        <f>Table1[[#This Row],[Bottle 2 before]]-Table1[[#This Row],[Bottle 2 after]]</f>
        <v>0.82000000000000028</v>
      </c>
      <c r="O34" s="5">
        <f>Table1[[#This Row],[delta Bottle 1]]+Table1[[#This Row],[delta Bottle 2]]</f>
        <v>2.1400000000000006</v>
      </c>
    </row>
    <row r="35" spans="1:16" x14ac:dyDescent="0.35">
      <c r="A35" s="2" t="s">
        <v>55</v>
      </c>
      <c r="B35" s="9">
        <v>45759</v>
      </c>
      <c r="D35" s="7">
        <v>0.6784</v>
      </c>
      <c r="E35" s="7">
        <v>6.547E-2</v>
      </c>
      <c r="F35" s="8">
        <f>Table1[[#This Row],[Fuel before]]-Table1[[#This Row],[Fuel after]]</f>
        <v>0.61292999999999997</v>
      </c>
      <c r="G35" s="1">
        <v>7</v>
      </c>
      <c r="H35" s="1">
        <v>21.7</v>
      </c>
      <c r="I35" s="1">
        <v>20.86</v>
      </c>
      <c r="J35" s="3">
        <f>Table1[[#This Row],[Bottle 1 before]]-Table1[[#This Row],[Bottle 1 after]]</f>
        <v>0.83999999999999986</v>
      </c>
      <c r="K35" s="1">
        <v>8</v>
      </c>
      <c r="L35" s="1">
        <v>21.94</v>
      </c>
      <c r="M35" s="1">
        <v>20.74</v>
      </c>
      <c r="N35" s="3">
        <f>Table1[[#This Row],[Bottle 2 before]]-Table1[[#This Row],[Bottle 2 after]]</f>
        <v>1.2000000000000028</v>
      </c>
      <c r="O35" s="5">
        <f>Table1[[#This Row],[delta Bottle 1]]+Table1[[#This Row],[delta Bottle 2]]</f>
        <v>2.0400000000000027</v>
      </c>
    </row>
    <row r="36" spans="1:16" x14ac:dyDescent="0.35">
      <c r="A36" s="2" t="s">
        <v>56</v>
      </c>
      <c r="B36" s="9">
        <v>45765</v>
      </c>
      <c r="C36" t="s">
        <v>57</v>
      </c>
      <c r="D36" s="7">
        <v>0.69779999999999998</v>
      </c>
      <c r="E36" s="7">
        <v>0.16905999999999999</v>
      </c>
      <c r="F36" s="8">
        <f>Table1[[#This Row],[Fuel before]]-Table1[[#This Row],[Fuel after]]</f>
        <v>0.52873999999999999</v>
      </c>
      <c r="G36" s="1">
        <v>7</v>
      </c>
      <c r="H36" s="1">
        <v>20.86</v>
      </c>
      <c r="I36" s="1">
        <v>20.3</v>
      </c>
      <c r="J36" s="3">
        <f>Table1[[#This Row],[Bottle 1 before]]-Table1[[#This Row],[Bottle 1 after]]</f>
        <v>0.55999999999999872</v>
      </c>
      <c r="K36" s="1">
        <v>8</v>
      </c>
      <c r="L36" s="1">
        <v>20.74</v>
      </c>
      <c r="M36" s="1">
        <v>19.86</v>
      </c>
      <c r="N36" s="3">
        <f>Table1[[#This Row],[Bottle 2 before]]-Table1[[#This Row],[Bottle 2 after]]</f>
        <v>0.87999999999999901</v>
      </c>
      <c r="O36" s="5">
        <f>Table1[[#This Row],[delta Bottle 1]]+Table1[[#This Row],[delta Bottle 2]]</f>
        <v>1.4399999999999977</v>
      </c>
    </row>
    <row r="37" spans="1:16" x14ac:dyDescent="0.35">
      <c r="A37" s="2" t="s">
        <v>58</v>
      </c>
      <c r="B37" s="9">
        <v>45773</v>
      </c>
      <c r="C37" t="s">
        <v>59</v>
      </c>
      <c r="D37" s="7">
        <v>0.61839999999999995</v>
      </c>
      <c r="E37" s="7">
        <v>0.26028000000000001</v>
      </c>
      <c r="F37" s="8">
        <f>Table1[[#This Row],[Fuel before]]-Table1[[#This Row],[Fuel after]]</f>
        <v>0.35811999999999994</v>
      </c>
      <c r="G37" s="1">
        <v>7</v>
      </c>
      <c r="H37" s="1">
        <v>20.335999999999999</v>
      </c>
      <c r="I37" s="1">
        <v>19.614000000000001</v>
      </c>
      <c r="J37" s="3">
        <f>Table1[[#This Row],[Bottle 1 before]]-Table1[[#This Row],[Bottle 1 after]]</f>
        <v>0.72199999999999775</v>
      </c>
      <c r="K37" s="1">
        <v>8</v>
      </c>
      <c r="L37" s="1">
        <v>19.718</v>
      </c>
      <c r="M37" s="1">
        <v>18.882000000000001</v>
      </c>
      <c r="N37" s="3">
        <f>Table1[[#This Row],[Bottle 2 before]]-Table1[[#This Row],[Bottle 2 after]]</f>
        <v>0.83599999999999852</v>
      </c>
      <c r="O37" s="5">
        <f>Table1[[#This Row],[delta Bottle 1]]+Table1[[#This Row],[delta Bottle 2]]</f>
        <v>1.5579999999999963</v>
      </c>
      <c r="P37" s="6" t="s">
        <v>60</v>
      </c>
    </row>
    <row r="38" spans="1:16" x14ac:dyDescent="0.35">
      <c r="A38" s="2" t="s">
        <v>61</v>
      </c>
      <c r="B38" s="9">
        <v>45780</v>
      </c>
      <c r="C38" t="s">
        <v>62</v>
      </c>
      <c r="D38" s="7">
        <v>0.68240000000000001</v>
      </c>
      <c r="E38" s="7">
        <v>0.25506000000000001</v>
      </c>
      <c r="F38" s="8">
        <f>Table1[[#This Row],[Fuel before]]-Table1[[#This Row],[Fuel after]]</f>
        <v>0.42734</v>
      </c>
      <c r="G38" s="1">
        <v>7</v>
      </c>
      <c r="H38" s="1">
        <v>19.672999999999998</v>
      </c>
      <c r="I38" s="1">
        <v>18.93</v>
      </c>
      <c r="J38" s="3">
        <f>Table1[[#This Row],[Bottle 1 before]]-Table1[[#This Row],[Bottle 1 after]]</f>
        <v>0.74299999999999855</v>
      </c>
      <c r="K38" s="1">
        <v>8</v>
      </c>
      <c r="L38" s="1">
        <v>18.954999999999998</v>
      </c>
      <c r="M38" s="1">
        <v>18.02</v>
      </c>
      <c r="N38" s="3">
        <f>Table1[[#This Row],[Bottle 2 before]]-Table1[[#This Row],[Bottle 2 after]]</f>
        <v>0.93499999999999872</v>
      </c>
      <c r="O38" s="5">
        <f>Table1[[#This Row],[delta Bottle 1]]+Table1[[#This Row],[delta Bottle 2]]</f>
        <v>1.6779999999999973</v>
      </c>
    </row>
    <row r="39" spans="1:16" x14ac:dyDescent="0.35">
      <c r="A39" s="2" t="s">
        <v>63</v>
      </c>
      <c r="B39" s="9">
        <v>45787</v>
      </c>
      <c r="C39" t="s">
        <v>64</v>
      </c>
      <c r="D39" s="7">
        <v>0.68240000000000001</v>
      </c>
      <c r="E39" s="7">
        <v>0.26813999999999999</v>
      </c>
      <c r="F39" s="8">
        <f>Table1[[#This Row],[Fuel before]]-Table1[[#This Row],[Fuel after]]</f>
        <v>0.41426000000000002</v>
      </c>
      <c r="G39" s="1">
        <v>10</v>
      </c>
      <c r="H39" s="1">
        <v>20.542000000000002</v>
      </c>
      <c r="I39" s="1">
        <v>19.972000000000001</v>
      </c>
      <c r="J39" s="3">
        <f>Table1[[#This Row],[Bottle 1 before]]-Table1[[#This Row],[Bottle 1 after]]</f>
        <v>0.57000000000000028</v>
      </c>
      <c r="K39" s="1">
        <v>9</v>
      </c>
      <c r="L39" s="1">
        <v>23.792999999999999</v>
      </c>
      <c r="M39" s="1">
        <v>22.981999999999999</v>
      </c>
      <c r="N39" s="3">
        <f>Table1[[#This Row],[Bottle 2 before]]-Table1[[#This Row],[Bottle 2 after]]</f>
        <v>0.81099999999999994</v>
      </c>
      <c r="O39" s="5">
        <f>Table1[[#This Row],[delta Bottle 1]]+Table1[[#This Row],[delta Bottle 2]]</f>
        <v>1.3810000000000002</v>
      </c>
    </row>
    <row r="40" spans="1:16" x14ac:dyDescent="0.35">
      <c r="A40" s="2" t="s">
        <v>65</v>
      </c>
      <c r="B40" s="9">
        <v>45788</v>
      </c>
      <c r="C40" t="s">
        <v>66</v>
      </c>
      <c r="D40" s="7">
        <v>0.68</v>
      </c>
      <c r="E40" s="7">
        <v>0.21079999999999999</v>
      </c>
      <c r="F40" s="8">
        <f>Table1[[#This Row],[Fuel before]]-Table1[[#This Row],[Fuel after]]</f>
        <v>0.46920000000000006</v>
      </c>
      <c r="G40" s="1">
        <v>9</v>
      </c>
      <c r="H40" s="1">
        <v>22.984000000000002</v>
      </c>
      <c r="I40" s="1">
        <v>22.602</v>
      </c>
      <c r="J40" s="3">
        <f>Table1[[#This Row],[Bottle 1 before]]-Table1[[#This Row],[Bottle 1 after]]</f>
        <v>0.38200000000000145</v>
      </c>
      <c r="K40" s="1">
        <v>10</v>
      </c>
      <c r="L40" s="1">
        <v>19.975999999999999</v>
      </c>
      <c r="M40" s="1">
        <v>19.29</v>
      </c>
      <c r="N40" s="3">
        <f>Table1[[#This Row],[Bottle 2 before]]-Table1[[#This Row],[Bottle 2 after]]</f>
        <v>0.68599999999999994</v>
      </c>
      <c r="O40" s="5">
        <f>Table1[[#This Row],[delta Bottle 1]]+Table1[[#This Row],[delta Bottle 2]]</f>
        <v>1.0680000000000014</v>
      </c>
    </row>
    <row r="41" spans="1:16" x14ac:dyDescent="0.35">
      <c r="A41" s="2" t="s">
        <v>67</v>
      </c>
      <c r="C41" t="s">
        <v>68</v>
      </c>
      <c r="D41" s="1"/>
      <c r="E41" s="1"/>
      <c r="F41" s="3">
        <f>Table1[[#This Row],[Fuel before]]-Table1[[#This Row],[Fuel after]]</f>
        <v>0</v>
      </c>
      <c r="G41" s="1"/>
      <c r="H41" s="1"/>
      <c r="I41" s="1"/>
      <c r="J41" s="3">
        <f>Table1[[#This Row],[Bottle 1 before]]-Table1[[#This Row],[Bottle 1 after]]</f>
        <v>0</v>
      </c>
      <c r="K41" s="1"/>
      <c r="L41" s="1"/>
      <c r="M41" s="1"/>
      <c r="N41" s="3">
        <f>Table1[[#This Row],[Bottle 2 before]]-Table1[[#This Row],[Bottle 2 after]]</f>
        <v>0</v>
      </c>
      <c r="O41" s="5">
        <f>Table1[[#This Row],[delta Bottle 1]]+Table1[[#This Row],[delta Bottle 2]]</f>
        <v>0</v>
      </c>
    </row>
    <row r="42" spans="1:16" x14ac:dyDescent="0.35">
      <c r="A42" s="2" t="s">
        <v>69</v>
      </c>
      <c r="F42" s="2">
        <f>Table1[[#This Row],[Fuel before]]-Table1[[#This Row],[Fuel after]]</f>
        <v>0</v>
      </c>
      <c r="G42" s="1"/>
      <c r="H42" s="1"/>
      <c r="I42" s="1"/>
      <c r="J42" s="3">
        <f>Table1[[#This Row],[Bottle 1 before]]-Table1[[#This Row],[Bottle 1 after]]</f>
        <v>0</v>
      </c>
      <c r="K42" s="1"/>
      <c r="L42" s="1"/>
      <c r="M42" s="1"/>
      <c r="N42" s="3">
        <f>Table1[[#This Row],[Bottle 2 before]]-Table1[[#This Row],[Bottle 2 after]]</f>
        <v>0</v>
      </c>
      <c r="O42" s="5">
        <f>Table1[[#This Row],[delta Bottle 1]]+Table1[[#This Row],[delta Bottle 2]]</f>
        <v>0</v>
      </c>
    </row>
    <row r="43" spans="1:16" x14ac:dyDescent="0.35">
      <c r="A43" s="2" t="s">
        <v>70</v>
      </c>
      <c r="F43" s="2">
        <f>Table1[[#This Row],[Fuel before]]-Table1[[#This Row],[Fuel after]]</f>
        <v>0</v>
      </c>
      <c r="G43" s="1"/>
      <c r="H43" s="1"/>
      <c r="I43" s="1"/>
      <c r="J43" s="3">
        <f>Table1[[#This Row],[Bottle 1 before]]-Table1[[#This Row],[Bottle 1 after]]</f>
        <v>0</v>
      </c>
      <c r="K43" s="1"/>
      <c r="L43" s="1"/>
      <c r="M43" s="1"/>
      <c r="N43" s="3">
        <f>Table1[[#This Row],[Bottle 2 before]]-Table1[[#This Row],[Bottle 2 after]]</f>
        <v>0</v>
      </c>
      <c r="O43" s="5">
        <f>Table1[[#This Row],[delta Bottle 1]]+Table1[[#This Row],[delta Bottle 2]]</f>
        <v>0</v>
      </c>
    </row>
    <row r="44" spans="1:16" x14ac:dyDescent="0.35">
      <c r="F44" s="2">
        <f>Table1[[#This Row],[Fuel before]]-Table1[[#This Row],[Fuel after]]</f>
        <v>0</v>
      </c>
      <c r="J44" s="2">
        <f>Table1[[#This Row],[Bottle 1 before]]-Table1[[#This Row],[Bottle 1 after]]</f>
        <v>0</v>
      </c>
      <c r="N44" s="2">
        <f>Table1[[#This Row],[Bottle 2 before]]-Table1[[#This Row],[Bottle 2 after]]</f>
        <v>0</v>
      </c>
      <c r="O44" s="4">
        <f>Table1[[#This Row],[delta Bottle 1]]+Table1[[#This Row],[delta Bottle 2]]</f>
        <v>0</v>
      </c>
    </row>
    <row r="45" spans="1:16" x14ac:dyDescent="0.35">
      <c r="F45" s="2">
        <f>Table1[[#This Row],[Fuel before]]-Table1[[#This Row],[Fuel after]]</f>
        <v>0</v>
      </c>
      <c r="J45" s="2">
        <f>Table1[[#This Row],[Bottle 1 before]]-Table1[[#This Row],[Bottle 1 after]]</f>
        <v>0</v>
      </c>
      <c r="N45" s="2">
        <f>Table1[[#This Row],[Bottle 2 before]]-Table1[[#This Row],[Bottle 2 after]]</f>
        <v>0</v>
      </c>
      <c r="O45" s="4">
        <f>Table1[[#This Row],[delta Bottle 1]]+Table1[[#This Row],[delta Bottle 2]]</f>
        <v>0</v>
      </c>
    </row>
    <row r="46" spans="1:16" x14ac:dyDescent="0.35">
      <c r="F46" s="2">
        <f>Table1[[#This Row],[Fuel before]]-Table1[[#This Row],[Fuel after]]</f>
        <v>0</v>
      </c>
      <c r="J46" s="2">
        <f>Table1[[#This Row],[Bottle 1 before]]-Table1[[#This Row],[Bottle 1 after]]</f>
        <v>0</v>
      </c>
      <c r="N46" s="2">
        <f>Table1[[#This Row],[Bottle 2 before]]-Table1[[#This Row],[Bottle 2 after]]</f>
        <v>0</v>
      </c>
      <c r="O46" s="4">
        <f>Table1[[#This Row],[delta Bottle 1]]+Table1[[#This Row],[delta Bottle 2]]</f>
        <v>0</v>
      </c>
    </row>
    <row r="47" spans="1:16" x14ac:dyDescent="0.35">
      <c r="F47" s="2">
        <f>Table1[[#This Row],[Fuel before]]-Table1[[#This Row],[Fuel after]]</f>
        <v>0</v>
      </c>
      <c r="J47" s="2">
        <f>Table1[[#This Row],[Bottle 1 before]]-Table1[[#This Row],[Bottle 1 after]]</f>
        <v>0</v>
      </c>
      <c r="N47" s="2">
        <f>Table1[[#This Row],[Bottle 2 before]]-Table1[[#This Row],[Bottle 2 after]]</f>
        <v>0</v>
      </c>
      <c r="O47" s="4">
        <f>Table1[[#This Row],[delta Bottle 1]]+Table1[[#This Row],[delta Bottle 2]]</f>
        <v>0</v>
      </c>
    </row>
    <row r="48" spans="1:16" x14ac:dyDescent="0.35">
      <c r="F48" s="2">
        <f>Table1[[#This Row],[Fuel before]]-Table1[[#This Row],[Fuel after]]</f>
        <v>0</v>
      </c>
      <c r="J48" s="2">
        <f>Table1[[#This Row],[Bottle 1 before]]-Table1[[#This Row],[Bottle 1 after]]</f>
        <v>0</v>
      </c>
      <c r="N48" s="2">
        <f>Table1[[#This Row],[Bottle 2 before]]-Table1[[#This Row],[Bottle 2 after]]</f>
        <v>0</v>
      </c>
      <c r="O48" s="4">
        <f>Table1[[#This Row],[delta Bottle 1]]+Table1[[#This Row],[delta Bottle 2]]</f>
        <v>0</v>
      </c>
    </row>
    <row r="49" spans="6:15" x14ac:dyDescent="0.35">
      <c r="F49" s="2">
        <f>Table1[[#This Row],[Fuel before]]-Table1[[#This Row],[Fuel after]]</f>
        <v>0</v>
      </c>
      <c r="J49" s="2">
        <f>Table1[[#This Row],[Bottle 1 before]]-Table1[[#This Row],[Bottle 1 after]]</f>
        <v>0</v>
      </c>
      <c r="N49" s="2">
        <f>Table1[[#This Row],[Bottle 2 before]]-Table1[[#This Row],[Bottle 2 after]]</f>
        <v>0</v>
      </c>
      <c r="O49" s="4">
        <f>Table1[[#This Row],[delta Bottle 1]]+Table1[[#This Row],[delta Bottle 2]]</f>
        <v>0</v>
      </c>
    </row>
    <row r="50" spans="6:15" x14ac:dyDescent="0.35">
      <c r="F50" s="2">
        <f>Table1[[#This Row],[Fuel before]]-Table1[[#This Row],[Fuel after]]</f>
        <v>0</v>
      </c>
      <c r="J50" s="2">
        <f>Table1[[#This Row],[Bottle 1 before]]-Table1[[#This Row],[Bottle 1 after]]</f>
        <v>0</v>
      </c>
      <c r="N50" s="2">
        <f>Table1[[#This Row],[Bottle 2 before]]-Table1[[#This Row],[Bottle 2 after]]</f>
        <v>0</v>
      </c>
      <c r="O50" s="4">
        <f>Table1[[#This Row],[delta Bottle 1]]+Table1[[#This Row],[delta Bottle 2]]</f>
        <v>0</v>
      </c>
    </row>
    <row r="51" spans="6:15" x14ac:dyDescent="0.35">
      <c r="F51" s="2">
        <f>Table1[[#This Row],[Fuel before]]-Table1[[#This Row],[Fuel after]]</f>
        <v>0</v>
      </c>
      <c r="J51" s="2">
        <f>Table1[[#This Row],[Bottle 1 before]]-Table1[[#This Row],[Bottle 1 after]]</f>
        <v>0</v>
      </c>
      <c r="N51" s="2">
        <f>Table1[[#This Row],[Bottle 2 before]]-Table1[[#This Row],[Bottle 2 after]]</f>
        <v>0</v>
      </c>
      <c r="O51" s="4">
        <f>Table1[[#This Row],[delta Bottle 1]]+Table1[[#This Row],[delta Bottle 2]]</f>
        <v>0</v>
      </c>
    </row>
    <row r="52" spans="6:15" x14ac:dyDescent="0.35">
      <c r="F52" s="2">
        <f>Table1[[#This Row],[Fuel before]]-Table1[[#This Row],[Fuel after]]</f>
        <v>0</v>
      </c>
      <c r="J52" s="2">
        <f>Table1[[#This Row],[Bottle 1 before]]-Table1[[#This Row],[Bottle 1 after]]</f>
        <v>0</v>
      </c>
      <c r="N52" s="2">
        <f>Table1[[#This Row],[Bottle 2 before]]-Table1[[#This Row],[Bottle 2 after]]</f>
        <v>0</v>
      </c>
      <c r="O52" s="4">
        <f>Table1[[#This Row],[delta Bottle 1]]+Table1[[#This Row],[delta Bottle 2]]</f>
        <v>0</v>
      </c>
    </row>
    <row r="53" spans="6:15" x14ac:dyDescent="0.35">
      <c r="F53" s="2">
        <f>Table1[[#This Row],[Fuel before]]-Table1[[#This Row],[Fuel after]]</f>
        <v>0</v>
      </c>
      <c r="J53" s="2">
        <f>Table1[[#This Row],[Bottle 1 before]]-Table1[[#This Row],[Bottle 1 after]]</f>
        <v>0</v>
      </c>
      <c r="N53" s="2">
        <f>Table1[[#This Row],[Bottle 2 before]]-Table1[[#This Row],[Bottle 2 after]]</f>
        <v>0</v>
      </c>
      <c r="O53" s="4">
        <f>Table1[[#This Row],[delta Bottle 1]]+Table1[[#This Row],[delta Bottle 2]]</f>
        <v>0</v>
      </c>
    </row>
    <row r="54" spans="6:15" x14ac:dyDescent="0.35">
      <c r="F54" s="2">
        <f>Table1[[#This Row],[Fuel before]]-Table1[[#This Row],[Fuel after]]</f>
        <v>0</v>
      </c>
      <c r="J54" s="2">
        <f>Table1[[#This Row],[Bottle 1 before]]-Table1[[#This Row],[Bottle 1 after]]</f>
        <v>0</v>
      </c>
      <c r="N54" s="2">
        <f>Table1[[#This Row],[Bottle 2 before]]-Table1[[#This Row],[Bottle 2 after]]</f>
        <v>0</v>
      </c>
      <c r="O54" s="4">
        <f>Table1[[#This Row],[delta Bottle 1]]+Table1[[#This Row],[delta Bottle 2]]</f>
        <v>0</v>
      </c>
    </row>
    <row r="55" spans="6:15" x14ac:dyDescent="0.35">
      <c r="F55" s="2">
        <f>Table1[[#This Row],[Fuel before]]-Table1[[#This Row],[Fuel after]]</f>
        <v>0</v>
      </c>
      <c r="J55" s="2">
        <f>Table1[[#This Row],[Bottle 1 before]]-Table1[[#This Row],[Bottle 1 after]]</f>
        <v>0</v>
      </c>
      <c r="N55" s="2">
        <f>Table1[[#This Row],[Bottle 2 before]]-Table1[[#This Row],[Bottle 2 after]]</f>
        <v>0</v>
      </c>
      <c r="O55" s="4">
        <f>Table1[[#This Row],[delta Bottle 1]]+Table1[[#This Row],[delta Bottle 2]]</f>
        <v>0</v>
      </c>
    </row>
    <row r="56" spans="6:15" x14ac:dyDescent="0.35">
      <c r="F56" s="2">
        <f>Table1[[#This Row],[Fuel before]]-Table1[[#This Row],[Fuel after]]</f>
        <v>0</v>
      </c>
      <c r="J56" s="2">
        <f>Table1[[#This Row],[Bottle 1 before]]-Table1[[#This Row],[Bottle 1 after]]</f>
        <v>0</v>
      </c>
      <c r="N56" s="2">
        <f>Table1[[#This Row],[Bottle 2 before]]-Table1[[#This Row],[Bottle 2 after]]</f>
        <v>0</v>
      </c>
      <c r="O56" s="4">
        <f>Table1[[#This Row],[delta Bottle 1]]+Table1[[#This Row],[delta Bottle 2]]</f>
        <v>0</v>
      </c>
    </row>
    <row r="57" spans="6:15" x14ac:dyDescent="0.35">
      <c r="F57" s="2">
        <f>Table1[[#This Row],[Fuel before]]-Table1[[#This Row],[Fuel after]]</f>
        <v>0</v>
      </c>
      <c r="J57" s="2">
        <f>Table1[[#This Row],[Bottle 1 before]]-Table1[[#This Row],[Bottle 1 after]]</f>
        <v>0</v>
      </c>
      <c r="N57" s="2">
        <f>Table1[[#This Row],[Bottle 2 before]]-Table1[[#This Row],[Bottle 2 after]]</f>
        <v>0</v>
      </c>
      <c r="O57" s="4">
        <f>Table1[[#This Row],[delta Bottle 1]]+Table1[[#This Row],[delta Bottle 2]]</f>
        <v>0</v>
      </c>
    </row>
    <row r="58" spans="6:15" x14ac:dyDescent="0.35">
      <c r="F58" s="2">
        <f>Table1[[#This Row],[Fuel before]]-Table1[[#This Row],[Fuel after]]</f>
        <v>0</v>
      </c>
      <c r="J58" s="2">
        <f>Table1[[#This Row],[Bottle 1 before]]-Table1[[#This Row],[Bottle 1 after]]</f>
        <v>0</v>
      </c>
      <c r="N58" s="2">
        <f>Table1[[#This Row],[Bottle 2 before]]-Table1[[#This Row],[Bottle 2 after]]</f>
        <v>0</v>
      </c>
      <c r="O58" s="4">
        <f>Table1[[#This Row],[delta Bottle 1]]+Table1[[#This Row],[delta Bottle 2]]</f>
        <v>0</v>
      </c>
    </row>
    <row r="59" spans="6:15" x14ac:dyDescent="0.35">
      <c r="F59" s="2">
        <f>Table1[[#This Row],[Fuel before]]-Table1[[#This Row],[Fuel after]]</f>
        <v>0</v>
      </c>
      <c r="J59" s="2">
        <f>Table1[[#This Row],[Bottle 1 before]]-Table1[[#This Row],[Bottle 1 after]]</f>
        <v>0</v>
      </c>
      <c r="N59" s="2">
        <f>Table1[[#This Row],[Bottle 2 before]]-Table1[[#This Row],[Bottle 2 after]]</f>
        <v>0</v>
      </c>
      <c r="O59" s="4">
        <f>Table1[[#This Row],[delta Bottle 1]]+Table1[[#This Row],[delta Bottle 2]]</f>
        <v>0</v>
      </c>
    </row>
    <row r="60" spans="6:15" x14ac:dyDescent="0.35">
      <c r="F60" s="2">
        <f>Table1[[#This Row],[Fuel before]]-Table1[[#This Row],[Fuel after]]</f>
        <v>0</v>
      </c>
      <c r="J60" s="2">
        <f>Table1[[#This Row],[Bottle 1 before]]-Table1[[#This Row],[Bottle 1 after]]</f>
        <v>0</v>
      </c>
      <c r="N60" s="2">
        <f>Table1[[#This Row],[Bottle 2 before]]-Table1[[#This Row],[Bottle 2 after]]</f>
        <v>0</v>
      </c>
      <c r="O60" s="4">
        <f>Table1[[#This Row],[delta Bottle 1]]+Table1[[#This Row],[delta Bottle 2]]</f>
        <v>0</v>
      </c>
    </row>
    <row r="61" spans="6:15" x14ac:dyDescent="0.35">
      <c r="F61" s="2">
        <f>Table1[[#This Row],[Fuel before]]-Table1[[#This Row],[Fuel after]]</f>
        <v>0</v>
      </c>
      <c r="J61" s="2">
        <f>Table1[[#This Row],[Bottle 1 before]]-Table1[[#This Row],[Bottle 1 after]]</f>
        <v>0</v>
      </c>
      <c r="N61" s="2">
        <f>Table1[[#This Row],[Bottle 2 before]]-Table1[[#This Row],[Bottle 2 after]]</f>
        <v>0</v>
      </c>
      <c r="O61" s="4">
        <f>Table1[[#This Row],[delta Bottle 1]]+Table1[[#This Row],[delta Bottle 2]]</f>
        <v>0</v>
      </c>
    </row>
    <row r="62" spans="6:15" x14ac:dyDescent="0.35">
      <c r="F62" s="2">
        <f>Table1[[#This Row],[Fuel before]]-Table1[[#This Row],[Fuel after]]</f>
        <v>0</v>
      </c>
      <c r="J62" s="2">
        <f>Table1[[#This Row],[Bottle 1 before]]-Table1[[#This Row],[Bottle 1 after]]</f>
        <v>0</v>
      </c>
      <c r="N62" s="2">
        <f>Table1[[#This Row],[Bottle 2 before]]-Table1[[#This Row],[Bottle 2 after]]</f>
        <v>0</v>
      </c>
      <c r="O62" s="4">
        <f>Table1[[#This Row],[delta Bottle 1]]+Table1[[#This Row],[delta Bottle 2]]</f>
        <v>0</v>
      </c>
    </row>
    <row r="63" spans="6:15" x14ac:dyDescent="0.35">
      <c r="F63" s="2">
        <f>Table1[[#This Row],[Fuel before]]-Table1[[#This Row],[Fuel after]]</f>
        <v>0</v>
      </c>
      <c r="J63" s="2">
        <f>Table1[[#This Row],[Bottle 1 before]]-Table1[[#This Row],[Bottle 1 after]]</f>
        <v>0</v>
      </c>
      <c r="N63" s="2">
        <f>Table1[[#This Row],[Bottle 2 before]]-Table1[[#This Row],[Bottle 2 after]]</f>
        <v>0</v>
      </c>
      <c r="O63" s="4">
        <f>Table1[[#This Row],[delta Bottle 1]]+Table1[[#This Row],[delta Bottle 2]]</f>
        <v>0</v>
      </c>
    </row>
    <row r="64" spans="6:15" x14ac:dyDescent="0.35">
      <c r="F64" s="2">
        <f>Table1[[#This Row],[Fuel before]]-Table1[[#This Row],[Fuel after]]</f>
        <v>0</v>
      </c>
      <c r="J64" s="2">
        <f>Table1[[#This Row],[Bottle 1 before]]-Table1[[#This Row],[Bottle 1 after]]</f>
        <v>0</v>
      </c>
      <c r="N64" s="2">
        <f>Table1[[#This Row],[Bottle 2 before]]-Table1[[#This Row],[Bottle 2 after]]</f>
        <v>0</v>
      </c>
      <c r="O64" s="4">
        <f>Table1[[#This Row],[delta Bottle 1]]+Table1[[#This Row],[delta Bottle 2]]</f>
        <v>0</v>
      </c>
    </row>
    <row r="65" spans="6:15" x14ac:dyDescent="0.35">
      <c r="F65" s="2">
        <f>Table1[[#This Row],[Fuel before]]-Table1[[#This Row],[Fuel after]]</f>
        <v>0</v>
      </c>
      <c r="J65" s="2">
        <f>Table1[[#This Row],[Bottle 1 before]]-Table1[[#This Row],[Bottle 1 after]]</f>
        <v>0</v>
      </c>
      <c r="N65" s="2">
        <f>Table1[[#This Row],[Bottle 2 before]]-Table1[[#This Row],[Bottle 2 after]]</f>
        <v>0</v>
      </c>
      <c r="O65" s="4">
        <f>Table1[[#This Row],[delta Bottle 1]]+Table1[[#This Row],[delta Bottle 2]]</f>
        <v>0</v>
      </c>
    </row>
    <row r="66" spans="6:15" x14ac:dyDescent="0.35">
      <c r="F66" s="2">
        <f>Table1[[#This Row],[Fuel before]]-Table1[[#This Row],[Fuel after]]</f>
        <v>0</v>
      </c>
      <c r="J66" s="2">
        <f>Table1[[#This Row],[Bottle 1 before]]-Table1[[#This Row],[Bottle 1 after]]</f>
        <v>0</v>
      </c>
      <c r="N66" s="2">
        <f>Table1[[#This Row],[Bottle 2 before]]-Table1[[#This Row],[Bottle 2 after]]</f>
        <v>0</v>
      </c>
      <c r="O66" s="4">
        <f>Table1[[#This Row],[delta Bottle 1]]+Table1[[#This Row],[delta Bottle 2]]</f>
        <v>0</v>
      </c>
    </row>
    <row r="67" spans="6:15" x14ac:dyDescent="0.35">
      <c r="F67" s="2">
        <f>Table1[[#This Row],[Fuel before]]-Table1[[#This Row],[Fuel after]]</f>
        <v>0</v>
      </c>
      <c r="J67" s="2">
        <f>Table1[[#This Row],[Bottle 1 before]]-Table1[[#This Row],[Bottle 1 after]]</f>
        <v>0</v>
      </c>
      <c r="N67" s="2">
        <f>Table1[[#This Row],[Bottle 2 before]]-Table1[[#This Row],[Bottle 2 after]]</f>
        <v>0</v>
      </c>
      <c r="O67" s="4">
        <f>Table1[[#This Row],[delta Bottle 1]]+Table1[[#This Row],[delta Bottle 2]]</f>
        <v>0</v>
      </c>
    </row>
    <row r="68" spans="6:15" x14ac:dyDescent="0.35">
      <c r="F68" s="2">
        <f>Table1[[#This Row],[Fuel before]]-Table1[[#This Row],[Fuel after]]</f>
        <v>0</v>
      </c>
      <c r="J68" s="2">
        <f>Table1[[#This Row],[Bottle 1 before]]-Table1[[#This Row],[Bottle 1 after]]</f>
        <v>0</v>
      </c>
      <c r="N68" s="2">
        <f>Table1[[#This Row],[Bottle 2 before]]-Table1[[#This Row],[Bottle 2 after]]</f>
        <v>0</v>
      </c>
      <c r="O68" s="4">
        <f>Table1[[#This Row],[delta Bottle 1]]+Table1[[#This Row],[delta Bottle 2]]</f>
        <v>0</v>
      </c>
    </row>
    <row r="69" spans="6:15" x14ac:dyDescent="0.35">
      <c r="F69" s="2">
        <f>Table1[[#This Row],[Fuel before]]-Table1[[#This Row],[Fuel after]]</f>
        <v>0</v>
      </c>
      <c r="J69" s="2">
        <f>Table1[[#This Row],[Bottle 1 before]]-Table1[[#This Row],[Bottle 1 after]]</f>
        <v>0</v>
      </c>
      <c r="N69" s="2">
        <f>Table1[[#This Row],[Bottle 2 before]]-Table1[[#This Row],[Bottle 2 after]]</f>
        <v>0</v>
      </c>
      <c r="O69" s="4">
        <f>Table1[[#This Row],[delta Bottle 1]]+Table1[[#This Row],[delta Bottle 2]]</f>
        <v>0</v>
      </c>
    </row>
    <row r="70" spans="6:15" x14ac:dyDescent="0.35">
      <c r="F70" s="2">
        <f>Table1[[#This Row],[Fuel before]]-Table1[[#This Row],[Fuel after]]</f>
        <v>0</v>
      </c>
      <c r="J70" s="2">
        <f>Table1[[#This Row],[Bottle 1 before]]-Table1[[#This Row],[Bottle 1 after]]</f>
        <v>0</v>
      </c>
      <c r="N70" s="2">
        <f>Table1[[#This Row],[Bottle 2 before]]-Table1[[#This Row],[Bottle 2 after]]</f>
        <v>0</v>
      </c>
      <c r="O70" s="4">
        <f>Table1[[#This Row],[delta Bottle 1]]+Table1[[#This Row],[delta Bottle 2]]</f>
        <v>0</v>
      </c>
    </row>
    <row r="71" spans="6:15" x14ac:dyDescent="0.35">
      <c r="F71" s="2">
        <f>Table1[[#This Row],[Fuel before]]-Table1[[#This Row],[Fuel after]]</f>
        <v>0</v>
      </c>
      <c r="J71" s="2">
        <f>Table1[[#This Row],[Bottle 1 before]]-Table1[[#This Row],[Bottle 1 after]]</f>
        <v>0</v>
      </c>
      <c r="N71" s="2">
        <f>Table1[[#This Row],[Bottle 2 before]]-Table1[[#This Row],[Bottle 2 after]]</f>
        <v>0</v>
      </c>
      <c r="O71" s="4">
        <f>Table1[[#This Row],[delta Bottle 1]]+Table1[[#This Row],[delta Bottle 2]]</f>
        <v>0</v>
      </c>
    </row>
    <row r="72" spans="6:15" x14ac:dyDescent="0.35">
      <c r="F72" s="2">
        <f>Table1[[#This Row],[Fuel before]]-Table1[[#This Row],[Fuel after]]</f>
        <v>0</v>
      </c>
      <c r="J72" s="2">
        <f>Table1[[#This Row],[Bottle 1 before]]-Table1[[#This Row],[Bottle 1 after]]</f>
        <v>0</v>
      </c>
      <c r="N72" s="2">
        <f>Table1[[#This Row],[Bottle 2 before]]-Table1[[#This Row],[Bottle 2 after]]</f>
        <v>0</v>
      </c>
      <c r="O72" s="4">
        <f>Table1[[#This Row],[delta Bottle 1]]+Table1[[#This Row],[delta Bottle 2]]</f>
        <v>0</v>
      </c>
    </row>
    <row r="73" spans="6:15" x14ac:dyDescent="0.35">
      <c r="F73" s="2">
        <f>Table1[[#This Row],[Fuel before]]-Table1[[#This Row],[Fuel after]]</f>
        <v>0</v>
      </c>
      <c r="J73" s="2">
        <f>Table1[[#This Row],[Bottle 1 before]]-Table1[[#This Row],[Bottle 1 after]]</f>
        <v>0</v>
      </c>
      <c r="N73" s="2">
        <f>Table1[[#This Row],[Bottle 2 before]]-Table1[[#This Row],[Bottle 2 after]]</f>
        <v>0</v>
      </c>
      <c r="O73" s="4">
        <f>Table1[[#This Row],[delta Bottle 1]]+Table1[[#This Row],[delta Bottle 2]]</f>
        <v>0</v>
      </c>
    </row>
    <row r="74" spans="6:15" x14ac:dyDescent="0.35">
      <c r="F74" s="2">
        <f>Table1[[#This Row],[Fuel before]]-Table1[[#This Row],[Fuel after]]</f>
        <v>0</v>
      </c>
      <c r="J74" s="2">
        <f>Table1[[#This Row],[Bottle 1 before]]-Table1[[#This Row],[Bottle 1 after]]</f>
        <v>0</v>
      </c>
      <c r="N74" s="2">
        <f>Table1[[#This Row],[Bottle 2 before]]-Table1[[#This Row],[Bottle 2 after]]</f>
        <v>0</v>
      </c>
      <c r="O74" s="4">
        <f>Table1[[#This Row],[delta Bottle 1]]+Table1[[#This Row],[delta Bottle 2]]</f>
        <v>0</v>
      </c>
    </row>
    <row r="75" spans="6:15" x14ac:dyDescent="0.35">
      <c r="F75" s="2">
        <f>Table1[[#This Row],[Fuel before]]-Table1[[#This Row],[Fuel after]]</f>
        <v>0</v>
      </c>
      <c r="J75" s="2">
        <f>Table1[[#This Row],[Bottle 1 before]]-Table1[[#This Row],[Bottle 1 after]]</f>
        <v>0</v>
      </c>
      <c r="N75" s="2">
        <f>Table1[[#This Row],[Bottle 2 before]]-Table1[[#This Row],[Bottle 2 after]]</f>
        <v>0</v>
      </c>
      <c r="O75" s="4">
        <f>Table1[[#This Row],[delta Bottle 1]]+Table1[[#This Row],[delta Bottle 2]]</f>
        <v>0</v>
      </c>
    </row>
    <row r="76" spans="6:15" x14ac:dyDescent="0.35">
      <c r="F76" s="2">
        <f>Table1[[#This Row],[Fuel before]]-Table1[[#This Row],[Fuel after]]</f>
        <v>0</v>
      </c>
      <c r="J76" s="2">
        <f>Table1[[#This Row],[Bottle 1 before]]-Table1[[#This Row],[Bottle 1 after]]</f>
        <v>0</v>
      </c>
      <c r="N76" s="2">
        <f>Table1[[#This Row],[Bottle 2 before]]-Table1[[#This Row],[Bottle 2 after]]</f>
        <v>0</v>
      </c>
      <c r="O76" s="4">
        <f>Table1[[#This Row],[delta Bottle 1]]+Table1[[#This Row],[delta Bottle 2]]</f>
        <v>0</v>
      </c>
    </row>
    <row r="77" spans="6:15" x14ac:dyDescent="0.35">
      <c r="F77" s="2">
        <f>Table1[[#This Row],[Fuel before]]-Table1[[#This Row],[Fuel after]]</f>
        <v>0</v>
      </c>
      <c r="J77" s="2">
        <f>Table1[[#This Row],[Bottle 1 before]]-Table1[[#This Row],[Bottle 1 after]]</f>
        <v>0</v>
      </c>
      <c r="N77" s="2">
        <f>Table1[[#This Row],[Bottle 2 before]]-Table1[[#This Row],[Bottle 2 after]]</f>
        <v>0</v>
      </c>
      <c r="O77" s="4">
        <f>Table1[[#This Row],[delta Bottle 1]]+Table1[[#This Row],[delta Bottle 2]]</f>
        <v>0</v>
      </c>
    </row>
    <row r="78" spans="6:15" x14ac:dyDescent="0.35">
      <c r="F78" s="2">
        <f>Table1[[#This Row],[Fuel before]]-Table1[[#This Row],[Fuel after]]</f>
        <v>0</v>
      </c>
      <c r="J78" s="2">
        <f>Table1[[#This Row],[Bottle 1 before]]-Table1[[#This Row],[Bottle 1 after]]</f>
        <v>0</v>
      </c>
      <c r="N78" s="2">
        <f>Table1[[#This Row],[Bottle 2 before]]-Table1[[#This Row],[Bottle 2 after]]</f>
        <v>0</v>
      </c>
      <c r="O78" s="4">
        <f>Table1[[#This Row],[delta Bottle 1]]+Table1[[#This Row],[delta Bottle 2]]</f>
        <v>0</v>
      </c>
    </row>
    <row r="79" spans="6:15" x14ac:dyDescent="0.35">
      <c r="F79" s="2">
        <f>Table1[[#This Row],[Fuel before]]-Table1[[#This Row],[Fuel after]]</f>
        <v>0</v>
      </c>
      <c r="J79" s="2">
        <f>Table1[[#This Row],[Bottle 1 before]]-Table1[[#This Row],[Bottle 1 after]]</f>
        <v>0</v>
      </c>
      <c r="N79" s="2">
        <f>Table1[[#This Row],[Bottle 2 before]]-Table1[[#This Row],[Bottle 2 after]]</f>
        <v>0</v>
      </c>
      <c r="O79" s="4">
        <f>Table1[[#This Row],[delta Bottle 1]]+Table1[[#This Row],[delta Bottle 2]]</f>
        <v>0</v>
      </c>
    </row>
    <row r="80" spans="6:15" x14ac:dyDescent="0.35">
      <c r="F80" s="2">
        <f>Table1[[#This Row],[Fuel before]]-Table1[[#This Row],[Fuel after]]</f>
        <v>0</v>
      </c>
      <c r="J80" s="2">
        <f>Table1[[#This Row],[Bottle 1 before]]-Table1[[#This Row],[Bottle 1 after]]</f>
        <v>0</v>
      </c>
      <c r="N80" s="2">
        <f>Table1[[#This Row],[Bottle 2 before]]-Table1[[#This Row],[Bottle 2 after]]</f>
        <v>0</v>
      </c>
      <c r="O80" s="4">
        <f>Table1[[#This Row],[delta Bottle 1]]+Table1[[#This Row],[delta Bottle 2]]</f>
        <v>0</v>
      </c>
    </row>
    <row r="81" spans="6:15" x14ac:dyDescent="0.35">
      <c r="F81" s="2">
        <f>Table1[[#This Row],[Fuel before]]-Table1[[#This Row],[Fuel after]]</f>
        <v>0</v>
      </c>
      <c r="J81" s="2">
        <f>Table1[[#This Row],[Bottle 1 before]]-Table1[[#This Row],[Bottle 1 after]]</f>
        <v>0</v>
      </c>
      <c r="N81" s="2">
        <f>Table1[[#This Row],[Bottle 2 before]]-Table1[[#This Row],[Bottle 2 after]]</f>
        <v>0</v>
      </c>
      <c r="O81" s="4">
        <f>Table1[[#This Row],[delta Bottle 1]]+Table1[[#This Row],[delta Bottle 2]]</f>
        <v>0</v>
      </c>
    </row>
    <row r="82" spans="6:15" x14ac:dyDescent="0.35">
      <c r="F82" s="2">
        <f>Table1[[#This Row],[Fuel before]]-Table1[[#This Row],[Fuel after]]</f>
        <v>0</v>
      </c>
      <c r="J82" s="2">
        <f>Table1[[#This Row],[Bottle 1 before]]-Table1[[#This Row],[Bottle 1 after]]</f>
        <v>0</v>
      </c>
      <c r="N82" s="2">
        <f>Table1[[#This Row],[Bottle 2 before]]-Table1[[#This Row],[Bottle 2 after]]</f>
        <v>0</v>
      </c>
      <c r="O82" s="4">
        <f>Table1[[#This Row],[delta Bottle 1]]+Table1[[#This Row],[delta Bottle 2]]</f>
        <v>0</v>
      </c>
    </row>
    <row r="83" spans="6:15" x14ac:dyDescent="0.35">
      <c r="F83" s="2">
        <f>Table1[[#This Row],[Fuel before]]-Table1[[#This Row],[Fuel after]]</f>
        <v>0</v>
      </c>
      <c r="J83" s="2">
        <f>Table1[[#This Row],[Bottle 1 before]]-Table1[[#This Row],[Bottle 1 after]]</f>
        <v>0</v>
      </c>
      <c r="N83" s="2">
        <f>Table1[[#This Row],[Bottle 2 before]]-Table1[[#This Row],[Bottle 2 after]]</f>
        <v>0</v>
      </c>
      <c r="O83" s="4">
        <f>Table1[[#This Row],[delta Bottle 1]]+Table1[[#This Row],[delta Bottle 2]]</f>
        <v>0</v>
      </c>
    </row>
    <row r="84" spans="6:15" x14ac:dyDescent="0.35">
      <c r="F84" s="2">
        <f>Table1[[#This Row],[Fuel before]]-Table1[[#This Row],[Fuel after]]</f>
        <v>0</v>
      </c>
      <c r="J84" s="2">
        <f>Table1[[#This Row],[Bottle 1 before]]-Table1[[#This Row],[Bottle 1 after]]</f>
        <v>0</v>
      </c>
      <c r="N84" s="2">
        <f>Table1[[#This Row],[Bottle 2 before]]-Table1[[#This Row],[Bottle 2 after]]</f>
        <v>0</v>
      </c>
      <c r="O84" s="4">
        <f>Table1[[#This Row],[delta Bottle 1]]+Table1[[#This Row],[delta Bottle 2]]</f>
        <v>0</v>
      </c>
    </row>
    <row r="85" spans="6:15" x14ac:dyDescent="0.35">
      <c r="F85" s="2">
        <f>Table1[[#This Row],[Fuel before]]-Table1[[#This Row],[Fuel after]]</f>
        <v>0</v>
      </c>
      <c r="J85" s="2">
        <f>Table1[[#This Row],[Bottle 1 before]]-Table1[[#This Row],[Bottle 1 after]]</f>
        <v>0</v>
      </c>
      <c r="N85" s="2">
        <f>Table1[[#This Row],[Bottle 2 before]]-Table1[[#This Row],[Bottle 2 after]]</f>
        <v>0</v>
      </c>
      <c r="O85" s="4">
        <f>Table1[[#This Row],[delta Bottle 1]]+Table1[[#This Row],[delta Bottle 2]]</f>
        <v>0</v>
      </c>
    </row>
    <row r="86" spans="6:15" x14ac:dyDescent="0.35">
      <c r="F86" s="2">
        <f>Table1[[#This Row],[Fuel before]]-Table1[[#This Row],[Fuel after]]</f>
        <v>0</v>
      </c>
      <c r="J86" s="2">
        <f>Table1[[#This Row],[Bottle 1 before]]-Table1[[#This Row],[Bottle 1 after]]</f>
        <v>0</v>
      </c>
      <c r="N86" s="2">
        <f>Table1[[#This Row],[Bottle 2 before]]-Table1[[#This Row],[Bottle 2 after]]</f>
        <v>0</v>
      </c>
      <c r="O86" s="4">
        <f>Table1[[#This Row],[delta Bottle 1]]+Table1[[#This Row],[delta Bottle 2]]</f>
        <v>0</v>
      </c>
    </row>
    <row r="87" spans="6:15" x14ac:dyDescent="0.35">
      <c r="F87" s="2">
        <f>Table1[[#This Row],[Fuel before]]-Table1[[#This Row],[Fuel after]]</f>
        <v>0</v>
      </c>
      <c r="J87" s="2">
        <f>Table1[[#This Row],[Bottle 1 before]]-Table1[[#This Row],[Bottle 1 after]]</f>
        <v>0</v>
      </c>
      <c r="N87" s="2">
        <f>Table1[[#This Row],[Bottle 2 before]]-Table1[[#This Row],[Bottle 2 after]]</f>
        <v>0</v>
      </c>
      <c r="O87" s="4">
        <f>Table1[[#This Row],[delta Bottle 1]]+Table1[[#This Row],[delta Bottle 2]]</f>
        <v>0</v>
      </c>
    </row>
    <row r="88" spans="6:15" x14ac:dyDescent="0.35">
      <c r="F88" s="2">
        <f>Table1[[#This Row],[Fuel before]]-Table1[[#This Row],[Fuel after]]</f>
        <v>0</v>
      </c>
      <c r="J88" s="2">
        <f>Table1[[#This Row],[Bottle 1 before]]-Table1[[#This Row],[Bottle 1 after]]</f>
        <v>0</v>
      </c>
      <c r="N88" s="2">
        <f>Table1[[#This Row],[Bottle 2 before]]-Table1[[#This Row],[Bottle 2 after]]</f>
        <v>0</v>
      </c>
      <c r="O88" s="4">
        <f>Table1[[#This Row],[delta Bottle 1]]+Table1[[#This Row],[delta Bottle 2]]</f>
        <v>0</v>
      </c>
    </row>
    <row r="89" spans="6:15" x14ac:dyDescent="0.35">
      <c r="F89" s="2">
        <f>Table1[[#This Row],[Fuel before]]-Table1[[#This Row],[Fuel after]]</f>
        <v>0</v>
      </c>
      <c r="J89" s="2">
        <f>Table1[[#This Row],[Bottle 1 before]]-Table1[[#This Row],[Bottle 1 after]]</f>
        <v>0</v>
      </c>
      <c r="N89" s="2">
        <f>Table1[[#This Row],[Bottle 2 before]]-Table1[[#This Row],[Bottle 2 after]]</f>
        <v>0</v>
      </c>
      <c r="O89" s="4">
        <f>Table1[[#This Row],[delta Bottle 1]]+Table1[[#This Row],[delta Bottle 2]]</f>
        <v>0</v>
      </c>
    </row>
    <row r="90" spans="6:15" x14ac:dyDescent="0.35">
      <c r="F90" s="2">
        <f>Table1[[#This Row],[Fuel before]]-Table1[[#This Row],[Fuel after]]</f>
        <v>0</v>
      </c>
      <c r="J90" s="2">
        <f>Table1[[#This Row],[Bottle 1 before]]-Table1[[#This Row],[Bottle 1 after]]</f>
        <v>0</v>
      </c>
      <c r="N90" s="2">
        <f>Table1[[#This Row],[Bottle 2 before]]-Table1[[#This Row],[Bottle 2 after]]</f>
        <v>0</v>
      </c>
      <c r="O90" s="4">
        <f>Table1[[#This Row],[delta Bottle 1]]+Table1[[#This Row],[delta Bottle 2]]</f>
        <v>0</v>
      </c>
    </row>
    <row r="91" spans="6:15" x14ac:dyDescent="0.35">
      <c r="F91" s="2">
        <f>Table1[[#This Row],[Fuel before]]-Table1[[#This Row],[Fuel after]]</f>
        <v>0</v>
      </c>
      <c r="J91" s="2">
        <f>Table1[[#This Row],[Bottle 1 before]]-Table1[[#This Row],[Bottle 1 after]]</f>
        <v>0</v>
      </c>
      <c r="N91" s="2">
        <f>Table1[[#This Row],[Bottle 2 before]]-Table1[[#This Row],[Bottle 2 after]]</f>
        <v>0</v>
      </c>
      <c r="O91" s="4">
        <f>Table1[[#This Row],[delta Bottle 1]]+Table1[[#This Row],[delta Bottle 2]]</f>
        <v>0</v>
      </c>
    </row>
    <row r="92" spans="6:15" x14ac:dyDescent="0.35">
      <c r="F92" s="2">
        <f>Table1[[#This Row],[Fuel before]]-Table1[[#This Row],[Fuel after]]</f>
        <v>0</v>
      </c>
      <c r="J92" s="2">
        <f>Table1[[#This Row],[Bottle 1 before]]-Table1[[#This Row],[Bottle 1 after]]</f>
        <v>0</v>
      </c>
      <c r="N92" s="2">
        <f>Table1[[#This Row],[Bottle 2 before]]-Table1[[#This Row],[Bottle 2 after]]</f>
        <v>0</v>
      </c>
      <c r="O92" s="4">
        <f>Table1[[#This Row],[delta Bottle 1]]+Table1[[#This Row],[delta Bottle 2]]</f>
        <v>0</v>
      </c>
    </row>
    <row r="93" spans="6:15" x14ac:dyDescent="0.35">
      <c r="F93" s="2">
        <f>Table1[[#This Row],[Fuel before]]-Table1[[#This Row],[Fuel after]]</f>
        <v>0</v>
      </c>
      <c r="J93" s="2">
        <f>Table1[[#This Row],[Bottle 1 before]]-Table1[[#This Row],[Bottle 1 after]]</f>
        <v>0</v>
      </c>
      <c r="N93" s="2">
        <f>Table1[[#This Row],[Bottle 2 before]]-Table1[[#This Row],[Bottle 2 after]]</f>
        <v>0</v>
      </c>
      <c r="O93" s="4">
        <f>Table1[[#This Row],[delta Bottle 1]]+Table1[[#This Row],[delta Bottle 2]]</f>
        <v>0</v>
      </c>
    </row>
    <row r="94" spans="6:15" x14ac:dyDescent="0.35">
      <c r="F94" s="2">
        <f>Table1[[#This Row],[Fuel before]]-Table1[[#This Row],[Fuel after]]</f>
        <v>0</v>
      </c>
      <c r="J94" s="2">
        <f>Table1[[#This Row],[Bottle 1 before]]-Table1[[#This Row],[Bottle 1 after]]</f>
        <v>0</v>
      </c>
      <c r="N94" s="2">
        <f>Table1[[#This Row],[Bottle 2 before]]-Table1[[#This Row],[Bottle 2 after]]</f>
        <v>0</v>
      </c>
      <c r="O94" s="4">
        <f>Table1[[#This Row],[delta Bottle 1]]+Table1[[#This Row],[delta Bottle 2]]</f>
        <v>0</v>
      </c>
    </row>
    <row r="95" spans="6:15" x14ac:dyDescent="0.35">
      <c r="F95" s="2">
        <f>Table1[[#This Row],[Fuel before]]-Table1[[#This Row],[Fuel after]]</f>
        <v>0</v>
      </c>
      <c r="J95" s="2">
        <f>Table1[[#This Row],[Bottle 1 before]]-Table1[[#This Row],[Bottle 1 after]]</f>
        <v>0</v>
      </c>
      <c r="N95" s="2">
        <f>Table1[[#This Row],[Bottle 2 before]]-Table1[[#This Row],[Bottle 2 after]]</f>
        <v>0</v>
      </c>
      <c r="O95" s="4">
        <f>Table1[[#This Row],[delta Bottle 1]]+Table1[[#This Row],[delta Bottle 2]]</f>
        <v>0</v>
      </c>
    </row>
    <row r="96" spans="6:15" x14ac:dyDescent="0.35">
      <c r="F96" s="2">
        <f>Table1[[#This Row],[Fuel before]]-Table1[[#This Row],[Fuel after]]</f>
        <v>0</v>
      </c>
      <c r="J96" s="2">
        <f>Table1[[#This Row],[Bottle 1 before]]-Table1[[#This Row],[Bottle 1 after]]</f>
        <v>0</v>
      </c>
      <c r="N96" s="2">
        <f>Table1[[#This Row],[Bottle 2 before]]-Table1[[#This Row],[Bottle 2 after]]</f>
        <v>0</v>
      </c>
      <c r="O96" s="4">
        <f>Table1[[#This Row],[delta Bottle 1]]+Table1[[#This Row],[delta Bottle 2]]</f>
        <v>0</v>
      </c>
    </row>
    <row r="97" spans="6:15" x14ac:dyDescent="0.35">
      <c r="F97" s="2">
        <f>Table1[[#This Row],[Fuel before]]-Table1[[#This Row],[Fuel after]]</f>
        <v>0</v>
      </c>
      <c r="J97" s="2">
        <f>Table1[[#This Row],[Bottle 1 before]]-Table1[[#This Row],[Bottle 1 after]]</f>
        <v>0</v>
      </c>
      <c r="N97" s="2">
        <f>Table1[[#This Row],[Bottle 2 before]]-Table1[[#This Row],[Bottle 2 after]]</f>
        <v>0</v>
      </c>
      <c r="O97" s="4">
        <f>Table1[[#This Row],[delta Bottle 1]]+Table1[[#This Row],[delta Bottle 2]]</f>
        <v>0</v>
      </c>
    </row>
    <row r="98" spans="6:15" x14ac:dyDescent="0.35">
      <c r="F98" s="2">
        <f>Table1[[#This Row],[Fuel before]]-Table1[[#This Row],[Fuel after]]</f>
        <v>0</v>
      </c>
      <c r="J98" s="2">
        <f>Table1[[#This Row],[Bottle 1 before]]-Table1[[#This Row],[Bottle 1 after]]</f>
        <v>0</v>
      </c>
      <c r="N98" s="2">
        <f>Table1[[#This Row],[Bottle 2 before]]-Table1[[#This Row],[Bottle 2 after]]</f>
        <v>0</v>
      </c>
      <c r="O98" s="4">
        <f>Table1[[#This Row],[delta Bottle 1]]+Table1[[#This Row],[delta Bottle 2]]</f>
        <v>0</v>
      </c>
    </row>
    <row r="99" spans="6:15" x14ac:dyDescent="0.35">
      <c r="F99" s="2">
        <f>Table1[[#This Row],[Fuel before]]-Table1[[#This Row],[Fuel after]]</f>
        <v>0</v>
      </c>
      <c r="J99" s="2">
        <f>Table1[[#This Row],[Bottle 1 before]]-Table1[[#This Row],[Bottle 1 after]]</f>
        <v>0</v>
      </c>
      <c r="N99" s="2">
        <f>Table1[[#This Row],[Bottle 2 before]]-Table1[[#This Row],[Bottle 2 after]]</f>
        <v>0</v>
      </c>
      <c r="O99" s="4">
        <f>Table1[[#This Row],[delta Bottle 1]]+Table1[[#This Row],[delta Bottle 2]]</f>
        <v>0</v>
      </c>
    </row>
    <row r="100" spans="6:15" x14ac:dyDescent="0.35">
      <c r="F100" s="2">
        <f>Table1[[#This Row],[Fuel before]]-Table1[[#This Row],[Fuel after]]</f>
        <v>0</v>
      </c>
      <c r="J100" s="2">
        <f>Table1[[#This Row],[Bottle 1 before]]-Table1[[#This Row],[Bottle 1 after]]</f>
        <v>0</v>
      </c>
      <c r="N100" s="2">
        <f>Table1[[#This Row],[Bottle 2 before]]-Table1[[#This Row],[Bottle 2 after]]</f>
        <v>0</v>
      </c>
      <c r="O100" s="4">
        <f>Table1[[#This Row],[delta Bottle 1]]+Table1[[#This Row],[delta Bottle 2]]</f>
        <v>0</v>
      </c>
    </row>
    <row r="101" spans="6:15" x14ac:dyDescent="0.35">
      <c r="F101" s="2">
        <f>Table1[[#This Row],[Fuel before]]-Table1[[#This Row],[Fuel after]]</f>
        <v>0</v>
      </c>
      <c r="J101" s="2">
        <f>Table1[[#This Row],[Bottle 1 before]]-Table1[[#This Row],[Bottle 1 after]]</f>
        <v>0</v>
      </c>
      <c r="N101" s="2">
        <f>Table1[[#This Row],[Bottle 2 before]]-Table1[[#This Row],[Bottle 2 after]]</f>
        <v>0</v>
      </c>
      <c r="O101" s="4">
        <f>Table1[[#This Row],[delta Bottle 1]]+Table1[[#This Row],[delta Bottle 2]]</f>
        <v>0</v>
      </c>
    </row>
    <row r="102" spans="6:15" x14ac:dyDescent="0.35">
      <c r="F102" s="2">
        <f>Table1[[#This Row],[Fuel before]]-Table1[[#This Row],[Fuel after]]</f>
        <v>0</v>
      </c>
      <c r="J102" s="2">
        <f>Table1[[#This Row],[Bottle 1 before]]-Table1[[#This Row],[Bottle 1 after]]</f>
        <v>0</v>
      </c>
      <c r="N102" s="2">
        <f>Table1[[#This Row],[Bottle 2 before]]-Table1[[#This Row],[Bottle 2 after]]</f>
        <v>0</v>
      </c>
      <c r="O102" s="4">
        <f>Table1[[#This Row],[delta Bottle 1]]+Table1[[#This Row],[delta Bottle 2]]</f>
        <v>0</v>
      </c>
    </row>
    <row r="103" spans="6:15" x14ac:dyDescent="0.35">
      <c r="F103" s="2">
        <f>Table1[[#This Row],[Fuel before]]-Table1[[#This Row],[Fuel after]]</f>
        <v>0</v>
      </c>
      <c r="J103" s="2">
        <f>Table1[[#This Row],[Bottle 1 before]]-Table1[[#This Row],[Bottle 1 after]]</f>
        <v>0</v>
      </c>
      <c r="N103" s="2">
        <f>Table1[[#This Row],[Bottle 2 before]]-Table1[[#This Row],[Bottle 2 after]]</f>
        <v>0</v>
      </c>
      <c r="O103" s="4">
        <f>Table1[[#This Row],[delta Bottle 1]]+Table1[[#This Row],[delta Bottle 2]]</f>
        <v>0</v>
      </c>
    </row>
    <row r="104" spans="6:15" x14ac:dyDescent="0.35">
      <c r="F104" s="2">
        <f>Table1[[#This Row],[Fuel before]]-Table1[[#This Row],[Fuel after]]</f>
        <v>0</v>
      </c>
      <c r="J104" s="2">
        <f>Table1[[#This Row],[Bottle 1 before]]-Table1[[#This Row],[Bottle 1 after]]</f>
        <v>0</v>
      </c>
      <c r="N104" s="2">
        <f>Table1[[#This Row],[Bottle 2 before]]-Table1[[#This Row],[Bottle 2 after]]</f>
        <v>0</v>
      </c>
      <c r="O104" s="4">
        <f>Table1[[#This Row],[delta Bottle 1]]+Table1[[#This Row],[delta Bottle 2]]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f9b9fba-e202-4bd8-8742-89551506cb2b" xsi:nil="true"/>
    <lcf76f155ced4ddcb4097134ff3c332f xmlns="e031b63a-e478-4836-8901-bfa8dd129394">
      <Terms xmlns="http://schemas.microsoft.com/office/infopath/2007/PartnerControls"/>
    </lcf76f155ced4ddcb4097134ff3c332f>
    <Descriptions xmlns="e031b63a-e478-4836-8901-bfa8dd12939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0FC9C7AD873A418FFF2FA6C9710E00" ma:contentTypeVersion="16" ma:contentTypeDescription="Create a new document." ma:contentTypeScope="" ma:versionID="88dcac177571d11d73f0e6bb4b868ccd">
  <xsd:schema xmlns:xsd="http://www.w3.org/2001/XMLSchema" xmlns:xs="http://www.w3.org/2001/XMLSchema" xmlns:p="http://schemas.microsoft.com/office/2006/metadata/properties" xmlns:ns2="e031b63a-e478-4836-8901-bfa8dd129394" xmlns:ns3="2f9b9fba-e202-4bd8-8742-89551506cb2b" targetNamespace="http://schemas.microsoft.com/office/2006/metadata/properties" ma:root="true" ma:fieldsID="a44785c258895d38e5466d391a313191" ns2:_="" ns3:_="">
    <xsd:import namespace="e031b63a-e478-4836-8901-bfa8dd129394"/>
    <xsd:import namespace="2f9b9fba-e202-4bd8-8742-89551506cb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Description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1b63a-e478-4836-8901-bfa8dd1293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30095c5-9845-4c19-ae12-55c1b63ea1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Descriptions" ma:index="19" nillable="true" ma:displayName="Descriptions" ma:format="Dropdown" ma:internalName="Descriptions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9b9fba-e202-4bd8-8742-89551506cb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579faa-a0d4-4c54-bd6a-0ad9febe9d2a}" ma:internalName="TaxCatchAll" ma:showField="CatchAllData" ma:web="2f9b9fba-e202-4bd8-8742-89551506cb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7AFD3A-9841-4674-97BD-3C2E1099A5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4F5E87-79E9-4F8C-B7DF-9CEF3B23729D}">
  <ds:schemaRefs>
    <ds:schemaRef ds:uri="http://schemas.microsoft.com/office/2006/metadata/properties"/>
    <ds:schemaRef ds:uri="http://schemas.microsoft.com/office/infopath/2007/PartnerControls"/>
    <ds:schemaRef ds:uri="2f9b9fba-e202-4bd8-8742-89551506cb2b"/>
    <ds:schemaRef ds:uri="e031b63a-e478-4836-8901-bfa8dd129394"/>
  </ds:schemaRefs>
</ds:datastoreItem>
</file>

<file path=customXml/itemProps3.xml><?xml version="1.0" encoding="utf-8"?>
<ds:datastoreItem xmlns:ds="http://schemas.openxmlformats.org/officeDocument/2006/customXml" ds:itemID="{4728CCA8-1D93-4578-81C9-61C382A5F5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31b63a-e478-4836-8901-bfa8dd129394"/>
    <ds:schemaRef ds:uri="2f9b9fba-e202-4bd8-8742-89551506cb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Wettke</dc:creator>
  <cp:keywords/>
  <dc:description/>
  <cp:lastModifiedBy>Ishmam Ush Shaheed</cp:lastModifiedBy>
  <cp:revision/>
  <dcterms:created xsi:type="dcterms:W3CDTF">2015-06-05T18:19:34Z</dcterms:created>
  <dcterms:modified xsi:type="dcterms:W3CDTF">2025-10-12T14:45:51Z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0x0101009F0FC9C7AD873A418FFF2FA6C9710E00</vt:lpwstr>
  </property>
  <property fmtid="{D5CDD505-2E9C-101B-9397-08002B2CF9AE}" pid="3" name="MediaServiceImageTags">
    <vt:lpwstr/>
  </property>
</Properties>
</file>