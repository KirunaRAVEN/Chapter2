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<sst xmlns="http://schemas.openxmlformats.org/spreadsheetml/2006/main" count="106" uniqueCount="81">
  <si>
    <t xml:space="preserve">Test ID</t>
  </si>
  <si>
    <t xml:space="preserve">Date</t>
  </si>
  <si>
    <t xml:space="preserve">Fuel ID</t>
  </si>
  <si>
    <t xml:space="preserve">Fuel before</t>
  </si>
  <si>
    <t xml:space="preserve">Fuel after</t>
  </si>
  <si>
    <t xml:space="preserve">delta Fuel</t>
  </si>
  <si>
    <t xml:space="preserve">Bottle 1 ID</t>
  </si>
  <si>
    <t xml:space="preserve">Bottle 1 before</t>
  </si>
  <si>
    <t xml:space="preserve">Bottle 1 after</t>
  </si>
  <si>
    <t xml:space="preserve">delta Bottle 1</t>
  </si>
  <si>
    <t xml:space="preserve">Bottle 2 ID</t>
  </si>
  <si>
    <t xml:space="preserve">Bottle 2 before</t>
  </si>
  <si>
    <t xml:space="preserve">Bottle 2 after</t>
  </si>
  <si>
    <t xml:space="preserve">delta Bottle 2</t>
  </si>
  <si>
    <t xml:space="preserve">delta Oxidizer</t>
  </si>
  <si>
    <t xml:space="preserve">Comments</t>
  </si>
  <si>
    <t xml:space="preserve">CFT01</t>
  </si>
  <si>
    <t xml:space="preserve">-</t>
  </si>
  <si>
    <t xml:space="preserve">CFT02</t>
  </si>
  <si>
    <t xml:space="preserve">CFT03</t>
  </si>
  <si>
    <t xml:space="preserve">CFT04</t>
  </si>
  <si>
    <t xml:space="preserve">Multiple short bursts, bottles were not weighed</t>
  </si>
  <si>
    <t xml:space="preserve">CFT05-01</t>
  </si>
  <si>
    <t xml:space="preserve">CFT05-02</t>
  </si>
  <si>
    <t xml:space="preserve">CFT06</t>
  </si>
  <si>
    <t xml:space="preserve">CFT07</t>
  </si>
  <si>
    <t xml:space="preserve">CFT08</t>
  </si>
  <si>
    <t xml:space="preserve">CFT09-01</t>
  </si>
  <si>
    <t xml:space="preserve">Line pressure of 30 bar</t>
  </si>
  <si>
    <t xml:space="preserve">CFT09-02</t>
  </si>
  <si>
    <t xml:space="preserve">CFT09-03</t>
  </si>
  <si>
    <t xml:space="preserve">CFT10</t>
  </si>
  <si>
    <t xml:space="preserve">CFT11</t>
  </si>
  <si>
    <t xml:space="preserve">CFT12-01</t>
  </si>
  <si>
    <t xml:space="preserve">CFT12-02</t>
  </si>
  <si>
    <t xml:space="preserve">CFT13</t>
  </si>
  <si>
    <t xml:space="preserve">CFT14</t>
  </si>
  <si>
    <t xml:space="preserve">CFT16</t>
  </si>
  <si>
    <t xml:space="preserve">CFT17</t>
  </si>
  <si>
    <t xml:space="preserve">CFT18</t>
  </si>
  <si>
    <t xml:space="preserve">CFT19</t>
  </si>
  <si>
    <t xml:space="preserve">CFT20</t>
  </si>
  <si>
    <t xml:space="preserve">HFT01</t>
  </si>
  <si>
    <t xml:space="preserve">Karl</t>
  </si>
  <si>
    <t xml:space="preserve">HFT02</t>
  </si>
  <si>
    <t xml:space="preserve">Fat Tony</t>
  </si>
  <si>
    <t xml:space="preserve">HFT03</t>
  </si>
  <si>
    <t xml:space="preserve">Vega</t>
  </si>
  <si>
    <t xml:space="preserve">Missfire</t>
  </si>
  <si>
    <t xml:space="preserve">HFT04</t>
  </si>
  <si>
    <t xml:space="preserve">Ignitius</t>
  </si>
  <si>
    <t xml:space="preserve">HFT05</t>
  </si>
  <si>
    <t xml:space="preserve">Maya</t>
  </si>
  <si>
    <t xml:space="preserve">HFT06</t>
  </si>
  <si>
    <t xml:space="preserve">Steve</t>
  </si>
  <si>
    <t xml:space="preserve">HFT07</t>
  </si>
  <si>
    <t xml:space="preserve">Fiona</t>
  </si>
  <si>
    <t xml:space="preserve">HFT09</t>
  </si>
  <si>
    <t xml:space="preserve">Shrek</t>
  </si>
  <si>
    <t xml:space="preserve">1.42 (1.74)</t>
  </si>
  <si>
    <t xml:space="preserve">0.66 (5.86)</t>
  </si>
  <si>
    <t xml:space="preserve">Valve didn’t close; delta values are approximated values during the burns</t>
  </si>
  <si>
    <t xml:space="preserve">HFT10</t>
  </si>
  <si>
    <t xml:space="preserve">HFT11</t>
  </si>
  <si>
    <t xml:space="preserve">Batman</t>
  </si>
  <si>
    <t xml:space="preserve">HFT12</t>
  </si>
  <si>
    <t xml:space="preserve">HFT13</t>
  </si>
  <si>
    <t xml:space="preserve">Koulina</t>
  </si>
  <si>
    <t xml:space="preserve">HFT14</t>
  </si>
  <si>
    <t xml:space="preserve">Pope Francis</t>
  </si>
  <si>
    <t xml:space="preserve">New scale. Hence the reason to why we have more signifcant digits, as well as the reason to why the oxidizer masses after HFT13 is not the same as HFT14?</t>
  </si>
  <si>
    <t xml:space="preserve">HFT15</t>
  </si>
  <si>
    <t xml:space="preserve">Boubou</t>
  </si>
  <si>
    <t xml:space="preserve">HFT16</t>
  </si>
  <si>
    <t xml:space="preserve">Anakin</t>
  </si>
  <si>
    <t xml:space="preserve">HFT17</t>
  </si>
  <si>
    <t xml:space="preserve">Madame Tussaud</t>
  </si>
  <si>
    <t xml:space="preserve">HFT18</t>
  </si>
  <si>
    <t xml:space="preserve">Gladis</t>
  </si>
  <si>
    <t xml:space="preserve">HFT19</t>
  </si>
  <si>
    <t xml:space="preserve">HFT20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</si>
</sst>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;@"/>
    <numFmt numFmtId="166" formatCode="General"/>
    <numFmt numFmtId="167" formatCode="0.000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FCFCFC"/>
          <bgColor rgb="FF1B1E2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P104" headerRowCount="1" totalsRowCount="0" totalsRowShown="0">
  <autoFilter ref="A1:P104"/>
  <tableColumns count="16">
    <tableColumn id="1" name="Test ID"/>
    <tableColumn id="2" name="Date"/>
    <tableColumn id="3" name="Fuel ID"/>
    <tableColumn id="4" name="Fuel before"/>
    <tableColumn id="5" name="Fuel after"/>
    <tableColumn id="6" name="delta Fuel"/>
    <tableColumn id="7" name="Bottle 1 ID"/>
    <tableColumn id="8" name="Bottle 1 before"/>
    <tableColumn id="9" name="Bottle 1 after"/>
    <tableColumn id="10" name="delta Bottle 1"/>
    <tableColumn id="11" name="Bottle 2 ID"/>
    <tableColumn id="12" name="Bottle 2 before"/>
    <tableColumn id="13" name="Bottle 2 after"/>
    <tableColumn id="14" name="delta Bottle 2"/>
    <tableColumn id="15" name="delta Oxidizer"/>
    <tableColumn id="16" name="Comment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0" topLeftCell="H1" activePane="topRight" state="frozen"/>
      <selection pane="topLeft" activeCell="A1" activeCellId="0" sqref="A1"/>
      <selection pane="topRight" activeCell="O20" activeCellId="0" sqref="O20"/>
    </sheetView>
  </sheetViews>
  <sheetFormatPr defaultColWidth="8.48828125" defaultRowHeight="14.25" zeroHeight="false" outlineLevelRow="0" outlineLevelCol="0"/>
  <cols>
    <col collapsed="false" customWidth="true" hidden="false" outlineLevel="0" max="1" min="1" style="1" width="9.27"/>
    <col collapsed="false" customWidth="true" hidden="false" outlineLevel="0" max="2" min="2" style="2" width="10.46"/>
    <col collapsed="false" customWidth="true" hidden="false" outlineLevel="0" max="3" min="3" style="0" width="16.45"/>
    <col collapsed="false" customWidth="true" hidden="false" outlineLevel="0" max="4" min="4" style="0" width="12.44"/>
    <col collapsed="false" customWidth="true" hidden="false" outlineLevel="0" max="5" min="5" style="0" width="10.99"/>
    <col collapsed="false" customWidth="true" hidden="false" outlineLevel="0" max="6" min="6" style="1" width="11.27"/>
    <col collapsed="false" customWidth="true" hidden="false" outlineLevel="0" max="7" min="7" style="0" width="11.84"/>
    <col collapsed="false" customWidth="true" hidden="false" outlineLevel="0" max="8" min="8" style="0" width="15.54"/>
    <col collapsed="false" customWidth="true" hidden="false" outlineLevel="0" max="9" min="9" style="0" width="14.16"/>
    <col collapsed="false" customWidth="true" hidden="false" outlineLevel="0" max="10" min="10" style="1" width="14.28"/>
    <col collapsed="false" customWidth="true" hidden="false" outlineLevel="0" max="11" min="11" style="0" width="11.84"/>
    <col collapsed="false" customWidth="true" hidden="false" outlineLevel="0" max="12" min="12" style="0" width="15.54"/>
    <col collapsed="false" customWidth="true" hidden="false" outlineLevel="0" max="13" min="13" style="0" width="14.16"/>
    <col collapsed="false" customWidth="true" hidden="false" outlineLevel="0" max="14" min="14" style="1" width="14.28"/>
    <col collapsed="false" customWidth="true" hidden="false" outlineLevel="0" max="15" min="15" style="3" width="14.54"/>
    <col collapsed="false" customWidth="true" hidden="false" outlineLevel="0" max="16" min="16" style="0" width="155.84"/>
  </cols>
  <sheetData>
    <row r="1" customFormat="false" ht="14.25" hidden="false" customHeight="false" outlineLevel="0" collapsed="false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4" t="s">
        <v>13</v>
      </c>
      <c r="O1" s="7" t="s">
        <v>14</v>
      </c>
      <c r="P1" s="6" t="s">
        <v>15</v>
      </c>
    </row>
    <row r="2" customFormat="false" ht="14.25" hidden="false" customHeight="false" outlineLevel="0" collapsed="false">
      <c r="A2" s="1" t="s">
        <v>16</v>
      </c>
      <c r="B2" s="2" t="n">
        <v>45410</v>
      </c>
      <c r="C2" s="0" t="s">
        <v>17</v>
      </c>
      <c r="D2" s="8"/>
      <c r="E2" s="8"/>
      <c r="F2" s="9"/>
      <c r="G2" s="8" t="n">
        <v>1</v>
      </c>
      <c r="H2" s="8" t="n">
        <v>22.8</v>
      </c>
      <c r="I2" s="8" t="n">
        <v>21.36</v>
      </c>
      <c r="J2" s="9" t="n">
        <f aca="false">Table1[[#This Row],[Bottle 1 before]]-Table1[[#This Row],[Bottle 1 after]]</f>
        <v>1.44</v>
      </c>
      <c r="K2" s="8" t="s">
        <v>17</v>
      </c>
      <c r="L2" s="8"/>
      <c r="M2" s="8"/>
      <c r="N2" s="9"/>
      <c r="O2" s="10" t="n">
        <f aca="false">Table1[[#This Row],[delta Bottle 1]]+Table1[[#This Row],[delta Bottle 2]]</f>
        <v>1.44</v>
      </c>
    </row>
    <row r="3" customFormat="false" ht="14.25" hidden="false" customHeight="false" outlineLevel="0" collapsed="false">
      <c r="A3" s="1" t="s">
        <v>18</v>
      </c>
      <c r="B3" s="2" t="n">
        <v>45413</v>
      </c>
      <c r="C3" s="0" t="s">
        <v>17</v>
      </c>
      <c r="D3" s="8"/>
      <c r="E3" s="8"/>
      <c r="F3" s="9"/>
      <c r="G3" s="8" t="n">
        <v>1</v>
      </c>
      <c r="H3" s="8" t="n">
        <v>21.36</v>
      </c>
      <c r="I3" s="8" t="n">
        <v>19.42</v>
      </c>
      <c r="J3" s="9" t="n">
        <f aca="false">Table1[[#This Row],[Bottle 1 before]]-Table1[[#This Row],[Bottle 1 after]]</f>
        <v>1.94</v>
      </c>
      <c r="K3" s="8" t="s">
        <v>17</v>
      </c>
      <c r="L3" s="8"/>
      <c r="M3" s="8"/>
      <c r="N3" s="9"/>
      <c r="O3" s="10" t="n">
        <f aca="false">Table1[[#This Row],[delta Bottle 1]]+Table1[[#This Row],[delta Bottle 2]]</f>
        <v>1.94</v>
      </c>
    </row>
    <row r="4" customFormat="false" ht="14.25" hidden="false" customHeight="false" outlineLevel="0" collapsed="false">
      <c r="A4" s="1" t="s">
        <v>19</v>
      </c>
      <c r="B4" s="2" t="n">
        <v>45417</v>
      </c>
      <c r="C4" s="0" t="s">
        <v>17</v>
      </c>
      <c r="D4" s="8"/>
      <c r="E4" s="8"/>
      <c r="F4" s="9"/>
      <c r="G4" s="8" t="n">
        <v>1</v>
      </c>
      <c r="H4" s="8" t="n">
        <v>19.42</v>
      </c>
      <c r="I4" s="8" t="n">
        <v>17.72</v>
      </c>
      <c r="J4" s="9" t="n">
        <f aca="false">Table1[[#This Row],[Bottle 1 before]]-Table1[[#This Row],[Bottle 1 after]]</f>
        <v>1.7</v>
      </c>
      <c r="K4" s="8" t="s">
        <v>17</v>
      </c>
      <c r="L4" s="8"/>
      <c r="M4" s="8"/>
      <c r="N4" s="9"/>
      <c r="O4" s="10" t="n">
        <f aca="false">Table1[[#This Row],[delta Bottle 1]]+Table1[[#This Row],[delta Bottle 2]]</f>
        <v>1.7</v>
      </c>
    </row>
    <row r="5" customFormat="false" ht="14.25" hidden="false" customHeight="false" outlineLevel="0" collapsed="false">
      <c r="A5" s="1" t="s">
        <v>20</v>
      </c>
      <c r="B5" s="2" t="n">
        <v>45421</v>
      </c>
      <c r="C5" s="0" t="s">
        <v>17</v>
      </c>
      <c r="D5" s="8"/>
      <c r="E5" s="8"/>
      <c r="F5" s="9"/>
      <c r="G5" s="8" t="n">
        <v>1</v>
      </c>
      <c r="H5" s="8"/>
      <c r="I5" s="8"/>
      <c r="J5" s="9" t="n">
        <f aca="false">Table1[[#This Row],[Bottle 1 before]]-Table1[[#This Row],[Bottle 1 after]]</f>
        <v>0</v>
      </c>
      <c r="K5" s="8" t="s">
        <v>17</v>
      </c>
      <c r="L5" s="8"/>
      <c r="M5" s="8"/>
      <c r="N5" s="9"/>
      <c r="O5" s="10" t="n">
        <f aca="false">Table1[[#This Row],[delta Bottle 1]]+Table1[[#This Row],[delta Bottle 2]]</f>
        <v>0</v>
      </c>
      <c r="P5" s="0" t="s">
        <v>21</v>
      </c>
    </row>
    <row r="6" customFormat="false" ht="14.25" hidden="false" customHeight="false" outlineLevel="0" collapsed="false">
      <c r="A6" s="1" t="s">
        <v>22</v>
      </c>
      <c r="B6" s="2" t="n">
        <v>45613</v>
      </c>
      <c r="C6" s="0" t="s">
        <v>17</v>
      </c>
      <c r="D6" s="8"/>
      <c r="E6" s="8"/>
      <c r="F6" s="9"/>
      <c r="G6" s="8" t="n">
        <v>3</v>
      </c>
      <c r="H6" s="8" t="n">
        <v>20.46</v>
      </c>
      <c r="I6" s="8" t="n">
        <v>18.96</v>
      </c>
      <c r="J6" s="9" t="n">
        <f aca="false">Table1[[#This Row],[Bottle 1 before]]-Table1[[#This Row],[Bottle 1 after]]</f>
        <v>1.5</v>
      </c>
      <c r="K6" s="8" t="n">
        <v>4</v>
      </c>
      <c r="L6" s="8" t="n">
        <v>22.58</v>
      </c>
      <c r="M6" s="8" t="n">
        <v>21.36</v>
      </c>
      <c r="N6" s="9" t="n">
        <f aca="false">Table1[[#This Row],[Bottle 2 before]]-Table1[[#This Row],[Bottle 2 after]]</f>
        <v>1.22</v>
      </c>
      <c r="O6" s="10" t="n">
        <f aca="false">Table1[[#This Row],[delta Bottle 1]]+Table1[[#This Row],[delta Bottle 2]]</f>
        <v>2.72</v>
      </c>
    </row>
    <row r="7" customFormat="false" ht="14.25" hidden="false" customHeight="false" outlineLevel="0" collapsed="false">
      <c r="A7" s="1" t="s">
        <v>23</v>
      </c>
      <c r="B7" s="2" t="n">
        <v>45613</v>
      </c>
      <c r="C7" s="0" t="s">
        <v>17</v>
      </c>
      <c r="D7" s="8"/>
      <c r="E7" s="8"/>
      <c r="F7" s="9"/>
      <c r="G7" s="8" t="n">
        <v>3</v>
      </c>
      <c r="H7" s="8" t="n">
        <v>18.96</v>
      </c>
      <c r="I7" s="8" t="n">
        <v>17.86</v>
      </c>
      <c r="J7" s="9" t="n">
        <f aca="false">Table1[[#This Row],[Bottle 1 before]]-Table1[[#This Row],[Bottle 1 after]]</f>
        <v>1.1</v>
      </c>
      <c r="K7" s="8" t="n">
        <v>4</v>
      </c>
      <c r="L7" s="8" t="n">
        <v>21.36</v>
      </c>
      <c r="M7" s="8" t="n">
        <v>20.26</v>
      </c>
      <c r="N7" s="9" t="n">
        <f aca="false">Table1[[#This Row],[Bottle 2 before]]-Table1[[#This Row],[Bottle 2 after]]</f>
        <v>1.1</v>
      </c>
      <c r="O7" s="10" t="n">
        <f aca="false">Table1[[#This Row],[delta Bottle 1]]+Table1[[#This Row],[delta Bottle 2]]</f>
        <v>2.2</v>
      </c>
    </row>
    <row r="8" customFormat="false" ht="14.25" hidden="false" customHeight="false" outlineLevel="0" collapsed="false">
      <c r="A8" s="1" t="s">
        <v>24</v>
      </c>
      <c r="B8" s="2" t="n">
        <v>45689</v>
      </c>
      <c r="C8" s="0" t="s">
        <v>17</v>
      </c>
      <c r="D8" s="8"/>
      <c r="E8" s="8"/>
      <c r="F8" s="9"/>
      <c r="G8" s="8" t="n">
        <v>4</v>
      </c>
      <c r="H8" s="8" t="n">
        <v>20.4</v>
      </c>
      <c r="I8" s="8" t="n">
        <v>18.74</v>
      </c>
      <c r="J8" s="9" t="n">
        <f aca="false">Table1[[#This Row],[Bottle 1 before]]-Table1[[#This Row],[Bottle 1 after]]</f>
        <v>1.66</v>
      </c>
      <c r="K8" s="8" t="n">
        <v>5</v>
      </c>
      <c r="L8" s="8" t="n">
        <v>20.16</v>
      </c>
      <c r="M8" s="8" t="n">
        <v>18.96</v>
      </c>
      <c r="N8" s="9" t="n">
        <f aca="false">Table1[[#This Row],[Bottle 2 before]]-Table1[[#This Row],[Bottle 2 after]]</f>
        <v>1.2</v>
      </c>
      <c r="O8" s="10" t="n">
        <f aca="false">Table1[[#This Row],[delta Bottle 1]]+Table1[[#This Row],[delta Bottle 2]]</f>
        <v>2.86</v>
      </c>
    </row>
    <row r="9" customFormat="false" ht="14.25" hidden="false" customHeight="false" outlineLevel="0" collapsed="false">
      <c r="A9" s="1" t="s">
        <v>25</v>
      </c>
      <c r="B9" s="2" t="n">
        <v>45710</v>
      </c>
      <c r="C9" s="0" t="s">
        <v>17</v>
      </c>
      <c r="D9" s="8"/>
      <c r="E9" s="8"/>
      <c r="F9" s="9"/>
      <c r="G9" s="8" t="n">
        <v>5</v>
      </c>
      <c r="H9" s="8" t="n">
        <v>18.4</v>
      </c>
      <c r="I9" s="8" t="n">
        <v>16.02</v>
      </c>
      <c r="J9" s="9" t="n">
        <f aca="false">Table1[[#This Row],[Bottle 1 before]]-Table1[[#This Row],[Bottle 1 after]]</f>
        <v>2.38</v>
      </c>
      <c r="K9" s="8" t="n">
        <v>6</v>
      </c>
      <c r="L9" s="8" t="n">
        <v>17.94</v>
      </c>
      <c r="M9" s="8" t="n">
        <v>18</v>
      </c>
      <c r="N9" s="9" t="n">
        <f aca="false">Table1[[#This Row],[Bottle 2 before]]-Table1[[#This Row],[Bottle 2 after]]</f>
        <v>-0.0599999999999987</v>
      </c>
      <c r="O9" s="10" t="n">
        <f aca="false">Table1[[#This Row],[delta Bottle 1]]+Table1[[#This Row],[delta Bottle 2]]</f>
        <v>2.32</v>
      </c>
    </row>
    <row r="10" customFormat="false" ht="14.25" hidden="false" customHeight="false" outlineLevel="0" collapsed="false">
      <c r="A10" s="1" t="s">
        <v>26</v>
      </c>
      <c r="B10" s="2" t="n">
        <v>45719</v>
      </c>
      <c r="C10" s="0" t="s">
        <v>17</v>
      </c>
      <c r="D10" s="8"/>
      <c r="E10" s="8"/>
      <c r="F10" s="9"/>
      <c r="G10" s="8"/>
      <c r="H10" s="8" t="n">
        <v>23.48</v>
      </c>
      <c r="I10" s="8" t="n">
        <v>23.02</v>
      </c>
      <c r="J10" s="9" t="n">
        <f aca="false">Table1[[#This Row],[Bottle 1 before]]-Table1[[#This Row],[Bottle 1 after]]</f>
        <v>0.460000000000001</v>
      </c>
      <c r="K10" s="8"/>
      <c r="L10" s="8" t="n">
        <v>23.46</v>
      </c>
      <c r="M10" s="8" t="n">
        <v>22.76</v>
      </c>
      <c r="N10" s="9" t="n">
        <f aca="false">Table1[[#This Row],[Bottle 2 before]]-Table1[[#This Row],[Bottle 2 after]]</f>
        <v>0.699999999999999</v>
      </c>
      <c r="O10" s="10" t="n">
        <f aca="false">Table1[[#This Row],[delta Bottle 1]]+Table1[[#This Row],[delta Bottle 2]]</f>
        <v>1.16</v>
      </c>
    </row>
    <row r="11" customFormat="false" ht="14.25" hidden="false" customHeight="false" outlineLevel="0" collapsed="false">
      <c r="A11" s="1" t="s">
        <v>27</v>
      </c>
      <c r="B11" s="2" t="n">
        <v>45794</v>
      </c>
      <c r="C11" s="0" t="s">
        <v>17</v>
      </c>
      <c r="D11" s="8"/>
      <c r="E11" s="8"/>
      <c r="F11" s="9"/>
      <c r="G11" s="8" t="n">
        <v>9</v>
      </c>
      <c r="H11" s="8" t="n">
        <v>22.598</v>
      </c>
      <c r="I11" s="8" t="n">
        <v>22.309</v>
      </c>
      <c r="J11" s="9" t="n">
        <f aca="false">Table1[[#This Row],[Bottle 1 before]]-Table1[[#This Row],[Bottle 1 after]]</f>
        <v>0.288999999999998</v>
      </c>
      <c r="K11" s="8" t="n">
        <v>10</v>
      </c>
      <c r="L11" s="8" t="n">
        <v>19.274</v>
      </c>
      <c r="M11" s="8" t="n">
        <v>18.657</v>
      </c>
      <c r="N11" s="9" t="n">
        <f aca="false">Table1[[#This Row],[Bottle 2 before]]-Table1[[#This Row],[Bottle 2 after]]</f>
        <v>0.617000000000001</v>
      </c>
      <c r="O11" s="10" t="n">
        <f aca="false">Table1[[#This Row],[delta Bottle 1]]+Table1[[#This Row],[delta Bottle 2]]</f>
        <v>0.905999999999999</v>
      </c>
      <c r="P11" s="0" t="s">
        <v>28</v>
      </c>
    </row>
    <row r="12" customFormat="false" ht="14.25" hidden="false" customHeight="false" outlineLevel="0" collapsed="false">
      <c r="A12" s="1" t="s">
        <v>29</v>
      </c>
      <c r="B12" s="2" t="n">
        <v>45794</v>
      </c>
      <c r="C12" s="0" t="s">
        <v>17</v>
      </c>
      <c r="D12" s="8"/>
      <c r="E12" s="8"/>
      <c r="F12" s="9"/>
      <c r="G12" s="8" t="n">
        <v>9</v>
      </c>
      <c r="H12" s="8" t="n">
        <v>22.309</v>
      </c>
      <c r="I12" s="8" t="n">
        <v>22.118</v>
      </c>
      <c r="J12" s="9" t="n">
        <f aca="false">Table1[[#This Row],[Bottle 1 before]]-Table1[[#This Row],[Bottle 1 after]]</f>
        <v>0.191000000000003</v>
      </c>
      <c r="K12" s="8" t="n">
        <v>10</v>
      </c>
      <c r="L12" s="8" t="n">
        <v>18.657</v>
      </c>
      <c r="M12" s="8" t="n">
        <v>18.136</v>
      </c>
      <c r="N12" s="9" t="n">
        <f aca="false">Table1[[#This Row],[Bottle 2 before]]-Table1[[#This Row],[Bottle 2 after]]</f>
        <v>0.521000000000001</v>
      </c>
      <c r="O12" s="10" t="n">
        <f aca="false">Table1[[#This Row],[delta Bottle 1]]+Table1[[#This Row],[delta Bottle 2]]</f>
        <v>0.712000000000003</v>
      </c>
      <c r="P12" s="0" t="s">
        <v>28</v>
      </c>
    </row>
    <row r="13" customFormat="false" ht="14.25" hidden="false" customHeight="false" outlineLevel="0" collapsed="false">
      <c r="A13" s="1" t="s">
        <v>30</v>
      </c>
      <c r="B13" s="2" t="n">
        <v>45794</v>
      </c>
      <c r="C13" s="0" t="s">
        <v>17</v>
      </c>
      <c r="D13" s="8"/>
      <c r="E13" s="8"/>
      <c r="F13" s="9"/>
      <c r="G13" s="8" t="n">
        <v>10</v>
      </c>
      <c r="H13" s="8" t="n">
        <v>18.136</v>
      </c>
      <c r="I13" s="8" t="n">
        <v>17.796</v>
      </c>
      <c r="J13" s="9" t="n">
        <f aca="false">Table1[[#This Row],[Bottle 1 before]]-Table1[[#This Row],[Bottle 1 after]]</f>
        <v>0.34</v>
      </c>
      <c r="K13" s="8" t="n">
        <v>9</v>
      </c>
      <c r="L13" s="8" t="n">
        <v>22.118</v>
      </c>
      <c r="M13" s="8" t="n">
        <v>21.536</v>
      </c>
      <c r="N13" s="9" t="n">
        <f aca="false">Table1[[#This Row],[Bottle 2 before]]-Table1[[#This Row],[Bottle 2 after]]</f>
        <v>0.581999999999997</v>
      </c>
      <c r="O13" s="10" t="n">
        <f aca="false">Table1[[#This Row],[delta Bottle 1]]+Table1[[#This Row],[delta Bottle 2]]</f>
        <v>0.921999999999997</v>
      </c>
      <c r="P13" s="0" t="s">
        <v>28</v>
      </c>
    </row>
    <row r="14" customFormat="false" ht="14.25" hidden="false" customHeight="false" outlineLevel="0" collapsed="false">
      <c r="A14" s="1" t="s">
        <v>31</v>
      </c>
      <c r="B14" s="2" t="n">
        <v>45906</v>
      </c>
      <c r="C14" s="0" t="s">
        <v>17</v>
      </c>
      <c r="D14" s="8"/>
      <c r="E14" s="8"/>
      <c r="F14" s="9"/>
      <c r="G14" s="8" t="n">
        <v>9</v>
      </c>
      <c r="H14" s="8" t="n">
        <v>21.55</v>
      </c>
      <c r="I14" s="8" t="n">
        <v>20.884</v>
      </c>
      <c r="J14" s="9" t="n">
        <f aca="false">Table1[[#This Row],[Bottle 1 before]]-Table1[[#This Row],[Bottle 1 after]]</f>
        <v>0.666</v>
      </c>
      <c r="K14" s="8" t="n">
        <v>10</v>
      </c>
      <c r="L14" s="8" t="n">
        <v>17.81</v>
      </c>
      <c r="M14" s="8" t="n">
        <v>17.44</v>
      </c>
      <c r="N14" s="9" t="n">
        <f aca="false">Table1[[#This Row],[Bottle 2 before]]-Table1[[#This Row],[Bottle 2 after]]</f>
        <v>0.369999999999997</v>
      </c>
      <c r="O14" s="10" t="n">
        <f aca="false">Table1[[#This Row],[delta Bottle 1]]+Table1[[#This Row],[delta Bottle 2]]</f>
        <v>1.036</v>
      </c>
    </row>
    <row r="15" customFormat="false" ht="14.25" hidden="false" customHeight="false" outlineLevel="0" collapsed="false">
      <c r="A15" s="1" t="s">
        <v>32</v>
      </c>
      <c r="B15" s="2" t="n">
        <v>45927</v>
      </c>
      <c r="C15" s="0" t="s">
        <v>17</v>
      </c>
      <c r="G15" s="8" t="n">
        <v>11</v>
      </c>
      <c r="H15" s="8" t="n">
        <v>21.008</v>
      </c>
      <c r="I15" s="8" t="n">
        <v>20.48</v>
      </c>
      <c r="J15" s="9" t="n">
        <f aca="false">Table1[[#This Row],[Bottle 1 before]]-Table1[[#This Row],[Bottle 1 after]]</f>
        <v>0.527999999999999</v>
      </c>
      <c r="K15" s="8" t="n">
        <v>12</v>
      </c>
      <c r="L15" s="8" t="n">
        <v>23.71</v>
      </c>
      <c r="M15" s="8" t="n">
        <v>23.142</v>
      </c>
      <c r="N15" s="9" t="n">
        <f aca="false">Table1[[#This Row],[Bottle 2 before]]-Table1[[#This Row],[Bottle 2 after]]</f>
        <v>0.568000000000001</v>
      </c>
      <c r="O15" s="10" t="n">
        <f aca="false">Table1[[#This Row],[delta Bottle 1]]+Table1[[#This Row],[delta Bottle 2]]</f>
        <v>1.096</v>
      </c>
    </row>
    <row r="16" customFormat="false" ht="14.25" hidden="false" customHeight="false" outlineLevel="0" collapsed="false">
      <c r="A16" s="1" t="s">
        <v>33</v>
      </c>
      <c r="B16" s="2" t="n">
        <v>45942</v>
      </c>
      <c r="G16" s="8" t="n">
        <v>11</v>
      </c>
      <c r="H16" s="8" t="n">
        <v>20.482</v>
      </c>
      <c r="I16" s="8" t="n">
        <v>19.92</v>
      </c>
      <c r="J16" s="9" t="n">
        <f aca="false">Table1[[#This Row],[Bottle 1 before]]-Table1[[#This Row],[Bottle 1 after]]</f>
        <v>0.561999999999998</v>
      </c>
      <c r="K16" s="8" t="n">
        <v>12</v>
      </c>
      <c r="L16" s="8" t="n">
        <v>23.136</v>
      </c>
      <c r="M16" s="8" t="n">
        <v>22.09</v>
      </c>
      <c r="N16" s="9" t="n">
        <f aca="false">Table1[[#This Row],[Bottle 2 before]]-Table1[[#This Row],[Bottle 2 after]]</f>
        <v>1.046</v>
      </c>
      <c r="O16" s="10" t="n">
        <f aca="false">Table1[[#This Row],[delta Bottle 1]]+Table1[[#This Row],[delta Bottle 2]]</f>
        <v>1.608</v>
      </c>
    </row>
    <row r="17" customFormat="false" ht="14.25" hidden="false" customHeight="false" outlineLevel="0" collapsed="false">
      <c r="A17" s="1" t="s">
        <v>34</v>
      </c>
      <c r="B17" s="2" t="n">
        <v>45942</v>
      </c>
      <c r="G17" s="8" t="n">
        <v>11</v>
      </c>
      <c r="H17" s="8" t="n">
        <v>19.92</v>
      </c>
      <c r="I17" s="0" t="n">
        <v>19.18</v>
      </c>
      <c r="J17" s="9" t="n">
        <f aca="false">Table1[[#This Row],[Bottle 1 before]]-Table1[[#This Row],[Bottle 1 after]]</f>
        <v>0.740000000000002</v>
      </c>
      <c r="K17" s="0" t="n">
        <v>12</v>
      </c>
      <c r="L17" s="8" t="n">
        <v>22.09</v>
      </c>
      <c r="M17" s="0" t="n">
        <v>20.96</v>
      </c>
      <c r="N17" s="1" t="n">
        <f aca="false">Table1[[#This Row],[Bottle 2 before]]-Table1[[#This Row],[Bottle 2 after]]</f>
        <v>1.13</v>
      </c>
      <c r="O17" s="3" t="n">
        <f aca="false">Table1[[#This Row],[delta Bottle 1]]+Table1[[#This Row],[delta Bottle 2]]</f>
        <v>1.87</v>
      </c>
    </row>
    <row r="18" customFormat="false" ht="14.25" hidden="false" customHeight="false" outlineLevel="0" collapsed="false">
      <c r="A18" s="1" t="s">
        <v>35</v>
      </c>
      <c r="J18" s="9" t="n">
        <f aca="false">Table1[[#This Row],[Bottle 1 before]]-Table1[[#This Row],[Bottle 1 after]]</f>
        <v>0</v>
      </c>
      <c r="N18" s="1" t="n">
        <f aca="false">Table1[[#This Row],[Bottle 2 before]]-Table1[[#This Row],[Bottle 2 after]]</f>
        <v>0</v>
      </c>
      <c r="O18" s="3" t="n">
        <f aca="false">Table1[[#This Row],[delta Bottle 1]]+Table1[[#This Row],[delta Bottle 2]]</f>
        <v>0</v>
      </c>
    </row>
    <row r="19" customFormat="false" ht="14.25" hidden="false" customHeight="false" outlineLevel="0" collapsed="false">
      <c r="A19" s="1" t="s">
        <v>36</v>
      </c>
      <c r="J19" s="1" t="n">
        <f aca="false">Table1[[#This Row],[Bottle 1 before]]-Table1[[#This Row],[Bottle 1 after]]</f>
        <v>0</v>
      </c>
      <c r="N19" s="1" t="n">
        <f aca="false">Table1[[#This Row],[Bottle 2 before]]-Table1[[#This Row],[Bottle 2 after]]</f>
        <v>0</v>
      </c>
      <c r="O19" s="3" t="n">
        <f aca="false">Table1[[#This Row],[delta Bottle 1]]+Table1[[#This Row],[delta Bottle 2]]</f>
        <v>0</v>
      </c>
    </row>
    <row r="20" customFormat="false" ht="14.25" hidden="false" customHeight="false" outlineLevel="0" collapsed="false">
      <c r="A20" s="1" t="s">
        <v>37</v>
      </c>
      <c r="B20" s="2" t="n">
        <v>46110</v>
      </c>
      <c r="H20" s="0" t="n">
        <v>23.491</v>
      </c>
      <c r="I20" s="0" t="n">
        <v>22.674</v>
      </c>
      <c r="J20" s="1" t="n">
        <f aca="false">Table1[[#This Row],[Bottle 1 before]]-Table1[[#This Row],[Bottle 1 after]]</f>
        <v>0.817</v>
      </c>
      <c r="L20" s="0" t="n">
        <v>18.953</v>
      </c>
      <c r="M20" s="0" t="n">
        <v>18.248</v>
      </c>
      <c r="N20" s="1" t="n">
        <f aca="false">Table1[[#This Row],[Bottle 2 before]]-Table1[[#This Row],[Bottle 2 after]]</f>
        <v>0.704999999999998</v>
      </c>
      <c r="O20" s="3" t="n">
        <f aca="false">Table1[[#This Row],[delta Bottle 1]]+Table1[[#This Row],[delta Bottle 2]]</f>
        <v>1.522</v>
      </c>
    </row>
    <row r="21" customFormat="false" ht="14.25" hidden="false" customHeight="false" outlineLevel="0" collapsed="false">
      <c r="A21" s="1" t="s">
        <v>38</v>
      </c>
      <c r="J21" s="1" t="n">
        <f aca="false">Table1[[#This Row],[Bottle 1 before]]-Table1[[#This Row],[Bottle 1 after]]</f>
        <v>0</v>
      </c>
      <c r="N21" s="1" t="n">
        <f aca="false">Table1[[#This Row],[Bottle 2 before]]-Table1[[#This Row],[Bottle 2 after]]</f>
        <v>0</v>
      </c>
      <c r="O21" s="3" t="n">
        <f aca="false">Table1[[#This Row],[delta Bottle 1]]+Table1[[#This Row],[delta Bottle 2]]</f>
        <v>0</v>
      </c>
    </row>
    <row r="22" customFormat="false" ht="14.25" hidden="false" customHeight="false" outlineLevel="0" collapsed="false">
      <c r="A22" s="1" t="s">
        <v>39</v>
      </c>
      <c r="J22" s="1" t="n">
        <f aca="false">Table1[[#This Row],[Bottle 1 before]]-Table1[[#This Row],[Bottle 1 after]]</f>
        <v>0</v>
      </c>
      <c r="N22" s="1" t="n">
        <f aca="false">Table1[[#This Row],[Bottle 2 before]]-Table1[[#This Row],[Bottle 2 after]]</f>
        <v>0</v>
      </c>
      <c r="O22" s="3" t="n">
        <f aca="false">Table1[[#This Row],[delta Bottle 1]]+Table1[[#This Row],[delta Bottle 2]]</f>
        <v>0</v>
      </c>
    </row>
    <row r="23" customFormat="false" ht="14.25" hidden="false" customHeight="false" outlineLevel="0" collapsed="false">
      <c r="A23" s="1" t="s">
        <v>40</v>
      </c>
      <c r="J23" s="1" t="n">
        <f aca="false">Table1[[#This Row],[Bottle 1 before]]-Table1[[#This Row],[Bottle 1 after]]</f>
        <v>0</v>
      </c>
      <c r="N23" s="1" t="n">
        <f aca="false">Table1[[#This Row],[Bottle 2 before]]-Table1[[#This Row],[Bottle 2 after]]</f>
        <v>0</v>
      </c>
      <c r="O23" s="3" t="n">
        <f aca="false">Table1[[#This Row],[delta Bottle 1]]+Table1[[#This Row],[delta Bottle 2]]</f>
        <v>0</v>
      </c>
    </row>
    <row r="24" customFormat="false" ht="14.25" hidden="false" customHeight="false" outlineLevel="0" collapsed="false">
      <c r="A24" s="1" t="s">
        <v>41</v>
      </c>
      <c r="J24" s="1" t="n">
        <f aca="false">Table1[[#This Row],[Bottle 1 before]]-Table1[[#This Row],[Bottle 1 after]]</f>
        <v>0</v>
      </c>
      <c r="N24" s="1" t="n">
        <f aca="false">Table1[[#This Row],[Bottle 2 before]]-Table1[[#This Row],[Bottle 2 after]]</f>
        <v>0</v>
      </c>
      <c r="O24" s="3" t="n">
        <f aca="false">Table1[[#This Row],[delta Bottle 1]]+Table1[[#This Row],[delta Bottle 2]]</f>
        <v>0</v>
      </c>
    </row>
    <row r="25" customFormat="false" ht="14.25" hidden="false" customHeight="false" outlineLevel="0" collapsed="false">
      <c r="A25" s="1" t="s">
        <v>42</v>
      </c>
      <c r="B25" s="2" t="n">
        <v>45424</v>
      </c>
      <c r="C25" s="0" t="s">
        <v>43</v>
      </c>
      <c r="D25" s="11" t="n">
        <v>0.6668</v>
      </c>
      <c r="E25" s="11" t="n">
        <v>0.3552</v>
      </c>
      <c r="F25" s="12" t="n">
        <f aca="false">Table1[[#This Row],[Fuel before]]-Table1[[#This Row],[Fuel after]]</f>
        <v>0.3116</v>
      </c>
      <c r="G25" s="8" t="n">
        <v>2</v>
      </c>
      <c r="H25" s="8" t="n">
        <v>20.62</v>
      </c>
      <c r="I25" s="8" t="n">
        <v>19.64</v>
      </c>
      <c r="J25" s="9" t="n">
        <f aca="false">Table1[[#This Row],[Bottle 1 before]]-Table1[[#This Row],[Bottle 1 after]]</f>
        <v>0.98</v>
      </c>
      <c r="K25" s="8" t="s">
        <v>17</v>
      </c>
      <c r="L25" s="8"/>
      <c r="M25" s="8"/>
      <c r="N25" s="9"/>
      <c r="O25" s="10" t="n">
        <f aca="false">Table1[[#This Row],[delta Bottle 1]]+Table1[[#This Row],[delta Bottle 2]]</f>
        <v>0.98</v>
      </c>
    </row>
    <row r="26" customFormat="false" ht="14.25" hidden="false" customHeight="false" outlineLevel="0" collapsed="false">
      <c r="A26" s="1" t="s">
        <v>44</v>
      </c>
      <c r="B26" s="2" t="n">
        <v>45431</v>
      </c>
      <c r="C26" s="0" t="s">
        <v>45</v>
      </c>
      <c r="D26" s="11" t="n">
        <v>0.6809</v>
      </c>
      <c r="E26" s="11" t="n">
        <v>0.41538</v>
      </c>
      <c r="F26" s="12" t="n">
        <f aca="false">Table1[[#This Row],[Fuel before]]-Table1[[#This Row],[Fuel after]]</f>
        <v>0.26552</v>
      </c>
      <c r="G26" s="8" t="n">
        <v>2</v>
      </c>
      <c r="H26" s="8" t="n">
        <v>19.64</v>
      </c>
      <c r="I26" s="8" t="n">
        <v>18.48</v>
      </c>
      <c r="J26" s="9" t="n">
        <f aca="false">Table1[[#This Row],[Bottle 1 before]]-Table1[[#This Row],[Bottle 1 after]]</f>
        <v>1.16</v>
      </c>
      <c r="K26" s="8" t="s">
        <v>17</v>
      </c>
      <c r="L26" s="8"/>
      <c r="M26" s="8"/>
      <c r="N26" s="9"/>
      <c r="O26" s="10" t="n">
        <f aca="false">Table1[[#This Row],[delta Bottle 1]]+Table1[[#This Row],[delta Bottle 2]]</f>
        <v>1.16</v>
      </c>
    </row>
    <row r="27" customFormat="false" ht="14.25" hidden="false" customHeight="false" outlineLevel="0" collapsed="false">
      <c r="A27" s="1" t="s">
        <v>46</v>
      </c>
      <c r="B27" s="2" t="n">
        <v>45445</v>
      </c>
      <c r="C27" s="0" t="s">
        <v>47</v>
      </c>
      <c r="D27" s="11" t="n">
        <v>0.6896</v>
      </c>
      <c r="E27" s="11" t="n">
        <v>0.6703</v>
      </c>
      <c r="F27" s="12" t="n">
        <f aca="false">Table1[[#This Row],[Fuel before]]-Table1[[#This Row],[Fuel after]]</f>
        <v>0.0193</v>
      </c>
      <c r="G27" s="8" t="n">
        <v>2</v>
      </c>
      <c r="H27" s="8" t="n">
        <v>18.48</v>
      </c>
      <c r="I27" s="8" t="n">
        <v>18.34</v>
      </c>
      <c r="J27" s="9" t="n">
        <f aca="false">Table1[[#This Row],[Bottle 1 before]]-Table1[[#This Row],[Bottle 1 after]]</f>
        <v>0.140000000000001</v>
      </c>
      <c r="K27" s="8" t="s">
        <v>17</v>
      </c>
      <c r="L27" s="8"/>
      <c r="M27" s="8"/>
      <c r="N27" s="9"/>
      <c r="O27" s="10" t="n">
        <f aca="false">Table1[[#This Row],[delta Bottle 1]]+Table1[[#This Row],[delta Bottle 2]]</f>
        <v>0.140000000000001</v>
      </c>
      <c r="P27" s="0" t="s">
        <v>48</v>
      </c>
    </row>
    <row r="28" customFormat="false" ht="14.25" hidden="false" customHeight="false" outlineLevel="0" collapsed="false">
      <c r="A28" s="1" t="s">
        <v>49</v>
      </c>
      <c r="B28" s="2" t="n">
        <v>45469</v>
      </c>
      <c r="C28" s="0" t="s">
        <v>50</v>
      </c>
      <c r="D28" s="11" t="n">
        <v>0.6681</v>
      </c>
      <c r="E28" s="11" t="n">
        <v>0.23349</v>
      </c>
      <c r="F28" s="12" t="n">
        <f aca="false">Table1[[#This Row],[Fuel before]]-Table1[[#This Row],[Fuel after]]</f>
        <v>0.43461</v>
      </c>
      <c r="G28" s="8" t="n">
        <v>2</v>
      </c>
      <c r="H28" s="8" t="n">
        <v>18.34</v>
      </c>
      <c r="I28" s="8" t="n">
        <v>16.94</v>
      </c>
      <c r="J28" s="9" t="n">
        <f aca="false">Table1[[#This Row],[Bottle 1 before]]-Table1[[#This Row],[Bottle 1 after]]</f>
        <v>1.4</v>
      </c>
      <c r="K28" s="8" t="s">
        <v>17</v>
      </c>
      <c r="L28" s="8"/>
      <c r="M28" s="8"/>
      <c r="N28" s="9"/>
      <c r="O28" s="10" t="n">
        <f aca="false">Table1[[#This Row],[delta Bottle 1]]+Table1[[#This Row],[delta Bottle 2]]</f>
        <v>1.4</v>
      </c>
    </row>
    <row r="29" customFormat="false" ht="14.25" hidden="false" customHeight="false" outlineLevel="0" collapsed="false">
      <c r="A29" s="1" t="s">
        <v>51</v>
      </c>
      <c r="B29" s="2" t="n">
        <v>45536</v>
      </c>
      <c r="C29" s="0" t="s">
        <v>52</v>
      </c>
      <c r="D29" s="11" t="n">
        <v>0.689</v>
      </c>
      <c r="E29" s="11" t="n">
        <v>0.36547</v>
      </c>
      <c r="F29" s="12" t="n">
        <f aca="false">Table1[[#This Row],[Fuel before]]-Table1[[#This Row],[Fuel after]]</f>
        <v>0.32353</v>
      </c>
      <c r="G29" s="8" t="n">
        <v>3</v>
      </c>
      <c r="H29" s="8" t="n">
        <v>22.84</v>
      </c>
      <c r="I29" s="8" t="n">
        <v>21.66</v>
      </c>
      <c r="J29" s="9" t="n">
        <f aca="false">Table1[[#This Row],[Bottle 1 before]]-Table1[[#This Row],[Bottle 1 after]]</f>
        <v>1.18</v>
      </c>
      <c r="K29" s="8" t="s">
        <v>17</v>
      </c>
      <c r="L29" s="8"/>
      <c r="M29" s="8"/>
      <c r="N29" s="9"/>
      <c r="O29" s="10" t="n">
        <f aca="false">Table1[[#This Row],[delta Bottle 1]]+Table1[[#This Row],[delta Bottle 2]]</f>
        <v>1.18</v>
      </c>
    </row>
    <row r="30" customFormat="false" ht="14.25" hidden="false" customHeight="false" outlineLevel="0" collapsed="false">
      <c r="A30" s="1" t="s">
        <v>53</v>
      </c>
      <c r="B30" s="2" t="n">
        <v>45543</v>
      </c>
      <c r="C30" s="0" t="s">
        <v>54</v>
      </c>
      <c r="D30" s="11" t="n">
        <v>0.68578</v>
      </c>
      <c r="E30" s="11" t="n">
        <v>0.22729</v>
      </c>
      <c r="F30" s="12" t="n">
        <f aca="false">Table1[[#This Row],[Fuel before]]-Table1[[#This Row],[Fuel after]]</f>
        <v>0.45849</v>
      </c>
      <c r="G30" s="8" t="n">
        <v>3</v>
      </c>
      <c r="H30" s="8" t="n">
        <v>21.66</v>
      </c>
      <c r="I30" s="8" t="n">
        <v>20.36</v>
      </c>
      <c r="J30" s="9" t="n">
        <f aca="false">Table1[[#This Row],[Bottle 1 before]]-Table1[[#This Row],[Bottle 1 after]]</f>
        <v>1.3</v>
      </c>
      <c r="K30" s="8" t="s">
        <v>17</v>
      </c>
      <c r="L30" s="8"/>
      <c r="M30" s="8"/>
      <c r="N30" s="9"/>
      <c r="O30" s="10" t="n">
        <f aca="false">Table1[[#This Row],[delta Bottle 1]]+Table1[[#This Row],[delta Bottle 2]]</f>
        <v>1.3</v>
      </c>
    </row>
    <row r="31" customFormat="false" ht="14.25" hidden="false" customHeight="false" outlineLevel="0" collapsed="false">
      <c r="A31" s="1" t="s">
        <v>55</v>
      </c>
      <c r="B31" s="2" t="n">
        <v>45619</v>
      </c>
      <c r="C31" s="0" t="s">
        <v>56</v>
      </c>
      <c r="D31" s="11" t="n">
        <v>0.6929</v>
      </c>
      <c r="E31" s="11" t="n">
        <v>0.3384</v>
      </c>
      <c r="F31" s="12" t="n">
        <f aca="false">Table1[[#This Row],[Fuel before]]-Table1[[#This Row],[Fuel after]]</f>
        <v>0.3545</v>
      </c>
      <c r="G31" s="8" t="n">
        <v>5</v>
      </c>
      <c r="H31" s="8" t="n">
        <v>22.88</v>
      </c>
      <c r="I31" s="8" t="n">
        <v>21.9</v>
      </c>
      <c r="J31" s="9" t="n">
        <f aca="false">Table1[[#This Row],[Bottle 1 before]]-Table1[[#This Row],[Bottle 1 after]]</f>
        <v>0.98</v>
      </c>
      <c r="K31" s="8" t="n">
        <v>6</v>
      </c>
      <c r="L31" s="8" t="n">
        <v>25.52</v>
      </c>
      <c r="M31" s="8" t="n">
        <v>24.12</v>
      </c>
      <c r="N31" s="9" t="n">
        <f aca="false">Table1[[#This Row],[Bottle 2 before]]-Table1[[#This Row],[Bottle 2 after]]</f>
        <v>1.4</v>
      </c>
      <c r="O31" s="10" t="n">
        <f aca="false">Table1[[#This Row],[delta Bottle 1]]+Table1[[#This Row],[delta Bottle 2]]</f>
        <v>2.38</v>
      </c>
    </row>
    <row r="32" customFormat="false" ht="14.25" hidden="false" customHeight="false" outlineLevel="0" collapsed="false">
      <c r="A32" s="1" t="s">
        <v>57</v>
      </c>
      <c r="B32" s="2" t="n">
        <v>45640</v>
      </c>
      <c r="C32" s="0" t="s">
        <v>58</v>
      </c>
      <c r="D32" s="11" t="n">
        <v>0.6883</v>
      </c>
      <c r="E32" s="11" t="n">
        <v>0</v>
      </c>
      <c r="F32" s="12" t="n">
        <f aca="false">Table1[[#This Row],[Fuel before]]-Table1[[#This Row],[Fuel after]]</f>
        <v>0.6883</v>
      </c>
      <c r="G32" s="8" t="n">
        <v>5</v>
      </c>
      <c r="H32" s="8" t="n">
        <v>21.9</v>
      </c>
      <c r="I32" s="8" t="n">
        <v>20.16</v>
      </c>
      <c r="J32" s="9" t="s">
        <v>59</v>
      </c>
      <c r="K32" s="8" t="n">
        <v>6</v>
      </c>
      <c r="L32" s="8" t="n">
        <v>24.14</v>
      </c>
      <c r="M32" s="8" t="n">
        <v>18.28</v>
      </c>
      <c r="N32" s="9" t="s">
        <v>60</v>
      </c>
      <c r="O32" s="10" t="n">
        <f aca="false">1.42+0.66</f>
        <v>2.08</v>
      </c>
      <c r="P32" s="0" t="s">
        <v>61</v>
      </c>
    </row>
    <row r="33" customFormat="false" ht="14.25" hidden="false" customHeight="false" outlineLevel="0" collapsed="false">
      <c r="A33" s="1" t="s">
        <v>62</v>
      </c>
      <c r="B33" s="2" t="n">
        <v>45689</v>
      </c>
      <c r="D33" s="11" t="n">
        <v>0.6953</v>
      </c>
      <c r="E33" s="11" t="n">
        <v>0.2768</v>
      </c>
      <c r="F33" s="12" t="n">
        <f aca="false">Table1[[#This Row],[Fuel before]]-Table1[[#This Row],[Fuel after]]</f>
        <v>0.4185</v>
      </c>
      <c r="G33" s="8" t="n">
        <v>4</v>
      </c>
      <c r="H33" s="8" t="n">
        <v>18.74</v>
      </c>
      <c r="I33" s="8" t="n">
        <v>17.64</v>
      </c>
      <c r="J33" s="9" t="n">
        <f aca="false">Table1[[#This Row],[Bottle 1 before]]-Table1[[#This Row],[Bottle 1 after]]</f>
        <v>1.1</v>
      </c>
      <c r="K33" s="8" t="n">
        <v>5</v>
      </c>
      <c r="L33" s="8" t="n">
        <v>18.96</v>
      </c>
      <c r="M33" s="8" t="n">
        <v>18.26</v>
      </c>
      <c r="N33" s="9" t="n">
        <f aca="false">Table1[[#This Row],[Bottle 2 before]]-Table1[[#This Row],[Bottle 2 after]]</f>
        <v>0.699999999999999</v>
      </c>
      <c r="O33" s="10" t="n">
        <f aca="false">Table1[[#This Row],[delta Bottle 1]]+Table1[[#This Row],[delta Bottle 2]]</f>
        <v>1.8</v>
      </c>
    </row>
    <row r="34" customFormat="false" ht="14.25" hidden="false" customHeight="false" outlineLevel="0" collapsed="false">
      <c r="A34" s="1" t="s">
        <v>63</v>
      </c>
      <c r="B34" s="2" t="n">
        <v>45739</v>
      </c>
      <c r="C34" s="0" t="s">
        <v>64</v>
      </c>
      <c r="D34" s="11" t="n">
        <v>0.6937</v>
      </c>
      <c r="E34" s="11" t="n">
        <v>0</v>
      </c>
      <c r="F34" s="12" t="n">
        <f aca="false">Table1[[#This Row],[Fuel before]]-Table1[[#This Row],[Fuel after]]</f>
        <v>0.6937</v>
      </c>
      <c r="G34" s="8" t="n">
        <v>7</v>
      </c>
      <c r="H34" s="8" t="n">
        <v>23.02</v>
      </c>
      <c r="I34" s="8" t="n">
        <v>21.7</v>
      </c>
      <c r="J34" s="9" t="n">
        <f aca="false">Table1[[#This Row],[Bottle 1 before]]-Table1[[#This Row],[Bottle 1 after]]</f>
        <v>1.32</v>
      </c>
      <c r="K34" s="8" t="n">
        <v>8</v>
      </c>
      <c r="L34" s="8" t="n">
        <v>22.76</v>
      </c>
      <c r="M34" s="8" t="n">
        <v>21.94</v>
      </c>
      <c r="N34" s="9" t="n">
        <f aca="false">Table1[[#This Row],[Bottle 2 before]]-Table1[[#This Row],[Bottle 2 after]]</f>
        <v>0.82</v>
      </c>
      <c r="O34" s="10" t="n">
        <f aca="false">Table1[[#This Row],[delta Bottle 1]]+Table1[[#This Row],[delta Bottle 2]]</f>
        <v>2.14</v>
      </c>
    </row>
    <row r="35" customFormat="false" ht="14.25" hidden="false" customHeight="false" outlineLevel="0" collapsed="false">
      <c r="A35" s="1" t="s">
        <v>65</v>
      </c>
      <c r="B35" s="2" t="n">
        <v>45759</v>
      </c>
      <c r="D35" s="11" t="n">
        <v>0.6784</v>
      </c>
      <c r="E35" s="11" t="n">
        <v>0.06547</v>
      </c>
      <c r="F35" s="12" t="n">
        <f aca="false">Table1[[#This Row],[Fuel before]]-Table1[[#This Row],[Fuel after]]</f>
        <v>0.61293</v>
      </c>
      <c r="G35" s="8" t="n">
        <v>7</v>
      </c>
      <c r="H35" s="8" t="n">
        <v>21.7</v>
      </c>
      <c r="I35" s="8" t="n">
        <v>20.86</v>
      </c>
      <c r="J35" s="9" t="n">
        <f aca="false">Table1[[#This Row],[Bottle 1 before]]-Table1[[#This Row],[Bottle 1 after]]</f>
        <v>0.84</v>
      </c>
      <c r="K35" s="8" t="n">
        <v>8</v>
      </c>
      <c r="L35" s="8" t="n">
        <v>21.94</v>
      </c>
      <c r="M35" s="8" t="n">
        <v>20.74</v>
      </c>
      <c r="N35" s="9" t="n">
        <f aca="false">Table1[[#This Row],[Bottle 2 before]]-Table1[[#This Row],[Bottle 2 after]]</f>
        <v>1.2</v>
      </c>
      <c r="O35" s="10" t="n">
        <f aca="false">Table1[[#This Row],[delta Bottle 1]]+Table1[[#This Row],[delta Bottle 2]]</f>
        <v>2.04</v>
      </c>
    </row>
    <row r="36" customFormat="false" ht="14.25" hidden="false" customHeight="false" outlineLevel="0" collapsed="false">
      <c r="A36" s="1" t="s">
        <v>66</v>
      </c>
      <c r="B36" s="2" t="n">
        <v>45765</v>
      </c>
      <c r="C36" s="0" t="s">
        <v>67</v>
      </c>
      <c r="D36" s="11" t="n">
        <v>0.6978</v>
      </c>
      <c r="E36" s="11" t="n">
        <v>0.16906</v>
      </c>
      <c r="F36" s="12" t="n">
        <f aca="false">Table1[[#This Row],[Fuel before]]-Table1[[#This Row],[Fuel after]]</f>
        <v>0.52874</v>
      </c>
      <c r="G36" s="8" t="n">
        <v>7</v>
      </c>
      <c r="H36" s="8" t="n">
        <v>20.86</v>
      </c>
      <c r="I36" s="8" t="n">
        <v>20.3</v>
      </c>
      <c r="J36" s="9" t="n">
        <f aca="false">Table1[[#This Row],[Bottle 1 before]]-Table1[[#This Row],[Bottle 1 after]]</f>
        <v>0.559999999999999</v>
      </c>
      <c r="K36" s="8" t="n">
        <v>8</v>
      </c>
      <c r="L36" s="8" t="n">
        <v>20.74</v>
      </c>
      <c r="M36" s="8" t="n">
        <v>19.86</v>
      </c>
      <c r="N36" s="9" t="n">
        <f aca="false">Table1[[#This Row],[Bottle 2 before]]-Table1[[#This Row],[Bottle 2 after]]</f>
        <v>0.879999999999999</v>
      </c>
      <c r="O36" s="10" t="n">
        <f aca="false">Table1[[#This Row],[delta Bottle 1]]+Table1[[#This Row],[delta Bottle 2]]</f>
        <v>1.44</v>
      </c>
    </row>
    <row r="37" customFormat="false" ht="14.25" hidden="false" customHeight="false" outlineLevel="0" collapsed="false">
      <c r="A37" s="1" t="s">
        <v>68</v>
      </c>
      <c r="B37" s="2" t="n">
        <v>45773</v>
      </c>
      <c r="C37" s="0" t="s">
        <v>69</v>
      </c>
      <c r="D37" s="11" t="n">
        <v>0.6184</v>
      </c>
      <c r="E37" s="11" t="n">
        <v>0.26028</v>
      </c>
      <c r="F37" s="12" t="n">
        <f aca="false">Table1[[#This Row],[Fuel before]]-Table1[[#This Row],[Fuel after]]</f>
        <v>0.35812</v>
      </c>
      <c r="G37" s="8" t="n">
        <v>7</v>
      </c>
      <c r="H37" s="8" t="n">
        <v>20.336</v>
      </c>
      <c r="I37" s="8" t="n">
        <v>19.614</v>
      </c>
      <c r="J37" s="9" t="n">
        <f aca="false">Table1[[#This Row],[Bottle 1 before]]-Table1[[#This Row],[Bottle 1 after]]</f>
        <v>0.721999999999998</v>
      </c>
      <c r="K37" s="8" t="n">
        <v>8</v>
      </c>
      <c r="L37" s="8" t="n">
        <v>19.718</v>
      </c>
      <c r="M37" s="8" t="n">
        <v>18.882</v>
      </c>
      <c r="N37" s="9" t="n">
        <f aca="false">Table1[[#This Row],[Bottle 2 before]]-Table1[[#This Row],[Bottle 2 after]]</f>
        <v>0.835999999999999</v>
      </c>
      <c r="O37" s="10" t="n">
        <f aca="false">Table1[[#This Row],[delta Bottle 1]]+Table1[[#This Row],[delta Bottle 2]]</f>
        <v>1.558</v>
      </c>
      <c r="P37" s="13" t="s">
        <v>70</v>
      </c>
    </row>
    <row r="38" customFormat="false" ht="14.25" hidden="false" customHeight="false" outlineLevel="0" collapsed="false">
      <c r="A38" s="1" t="s">
        <v>71</v>
      </c>
      <c r="B38" s="2" t="n">
        <v>45780</v>
      </c>
      <c r="C38" s="0" t="s">
        <v>72</v>
      </c>
      <c r="D38" s="11" t="n">
        <v>0.6824</v>
      </c>
      <c r="E38" s="11" t="n">
        <v>0.25506</v>
      </c>
      <c r="F38" s="12" t="n">
        <f aca="false">Table1[[#This Row],[Fuel before]]-Table1[[#This Row],[Fuel after]]</f>
        <v>0.42734</v>
      </c>
      <c r="G38" s="8" t="n">
        <v>7</v>
      </c>
      <c r="H38" s="8" t="n">
        <v>19.673</v>
      </c>
      <c r="I38" s="8" t="n">
        <v>18.93</v>
      </c>
      <c r="J38" s="9" t="n">
        <f aca="false">Table1[[#This Row],[Bottle 1 before]]-Table1[[#This Row],[Bottle 1 after]]</f>
        <v>0.742999999999999</v>
      </c>
      <c r="K38" s="8" t="n">
        <v>8</v>
      </c>
      <c r="L38" s="8" t="n">
        <v>18.955</v>
      </c>
      <c r="M38" s="8" t="n">
        <v>18.02</v>
      </c>
      <c r="N38" s="9" t="n">
        <f aca="false">Table1[[#This Row],[Bottle 2 before]]-Table1[[#This Row],[Bottle 2 after]]</f>
        <v>0.934999999999999</v>
      </c>
      <c r="O38" s="10" t="n">
        <f aca="false">Table1[[#This Row],[delta Bottle 1]]+Table1[[#This Row],[delta Bottle 2]]</f>
        <v>1.678</v>
      </c>
    </row>
    <row r="39" customFormat="false" ht="14.25" hidden="false" customHeight="false" outlineLevel="0" collapsed="false">
      <c r="A39" s="1" t="s">
        <v>73</v>
      </c>
      <c r="B39" s="2" t="n">
        <v>45787</v>
      </c>
      <c r="C39" s="0" t="s">
        <v>74</v>
      </c>
      <c r="D39" s="11" t="n">
        <v>0.6824</v>
      </c>
      <c r="E39" s="11" t="n">
        <v>0.26814</v>
      </c>
      <c r="F39" s="12" t="n">
        <f aca="false">Table1[[#This Row],[Fuel before]]-Table1[[#This Row],[Fuel after]]</f>
        <v>0.41426</v>
      </c>
      <c r="G39" s="8" t="n">
        <v>10</v>
      </c>
      <c r="H39" s="8" t="n">
        <v>20.542</v>
      </c>
      <c r="I39" s="8" t="n">
        <v>19.972</v>
      </c>
      <c r="J39" s="9" t="n">
        <f aca="false">Table1[[#This Row],[Bottle 1 before]]-Table1[[#This Row],[Bottle 1 after]]</f>
        <v>0.57</v>
      </c>
      <c r="K39" s="8" t="n">
        <v>9</v>
      </c>
      <c r="L39" s="8" t="n">
        <v>23.793</v>
      </c>
      <c r="M39" s="8" t="n">
        <v>22.982</v>
      </c>
      <c r="N39" s="9" t="n">
        <f aca="false">Table1[[#This Row],[Bottle 2 before]]-Table1[[#This Row],[Bottle 2 after]]</f>
        <v>0.811</v>
      </c>
      <c r="O39" s="10" t="n">
        <f aca="false">Table1[[#This Row],[delta Bottle 1]]+Table1[[#This Row],[delta Bottle 2]]</f>
        <v>1.381</v>
      </c>
    </row>
    <row r="40" customFormat="false" ht="14.25" hidden="false" customHeight="false" outlineLevel="0" collapsed="false">
      <c r="A40" s="1" t="s">
        <v>75</v>
      </c>
      <c r="B40" s="2" t="n">
        <v>45788</v>
      </c>
      <c r="C40" s="0" t="s">
        <v>76</v>
      </c>
      <c r="D40" s="11" t="n">
        <v>0.68</v>
      </c>
      <c r="E40" s="11" t="n">
        <v>0.2108</v>
      </c>
      <c r="F40" s="12" t="n">
        <f aca="false">Table1[[#This Row],[Fuel before]]-Table1[[#This Row],[Fuel after]]</f>
        <v>0.4692</v>
      </c>
      <c r="G40" s="8" t="n">
        <v>9</v>
      </c>
      <c r="H40" s="8" t="n">
        <v>22.984</v>
      </c>
      <c r="I40" s="8" t="n">
        <v>22.602</v>
      </c>
      <c r="J40" s="9" t="n">
        <f aca="false">Table1[[#This Row],[Bottle 1 before]]-Table1[[#This Row],[Bottle 1 after]]</f>
        <v>0.382000000000001</v>
      </c>
      <c r="K40" s="8" t="n">
        <v>10</v>
      </c>
      <c r="L40" s="8" t="n">
        <v>19.976</v>
      </c>
      <c r="M40" s="8" t="n">
        <v>19.29</v>
      </c>
      <c r="N40" s="9" t="n">
        <f aca="false">Table1[[#This Row],[Bottle 2 before]]-Table1[[#This Row],[Bottle 2 after]]</f>
        <v>0.686</v>
      </c>
      <c r="O40" s="10" t="n">
        <f aca="false">Table1[[#This Row],[delta Bottle 1]]+Table1[[#This Row],[delta Bottle 2]]</f>
        <v>1.068</v>
      </c>
    </row>
    <row r="41" customFormat="false" ht="14.25" hidden="false" customHeight="false" outlineLevel="0" collapsed="false">
      <c r="A41" s="1" t="s">
        <v>77</v>
      </c>
      <c r="C41" s="0" t="s">
        <v>78</v>
      </c>
      <c r="D41" s="8"/>
      <c r="E41" s="8"/>
      <c r="F41" s="9" t="n">
        <f aca="false">Table1[[#This Row],[Fuel before]]-Table1[[#This Row],[Fuel after]]</f>
        <v>0</v>
      </c>
      <c r="G41" s="8"/>
      <c r="H41" s="8"/>
      <c r="I41" s="8"/>
      <c r="J41" s="9" t="n">
        <f aca="false">Table1[[#This Row],[Bottle 1 before]]-Table1[[#This Row],[Bottle 1 after]]</f>
        <v>0</v>
      </c>
      <c r="K41" s="8"/>
      <c r="L41" s="8"/>
      <c r="M41" s="8"/>
      <c r="N41" s="9" t="n">
        <f aca="false">Table1[[#This Row],[Bottle 2 before]]-Table1[[#This Row],[Bottle 2 after]]</f>
        <v>0</v>
      </c>
      <c r="O41" s="10" t="n">
        <f aca="false">Table1[[#This Row],[delta Bottle 1]]+Table1[[#This Row],[delta Bottle 2]]</f>
        <v>0</v>
      </c>
    </row>
    <row r="42" customFormat="false" ht="14.25" hidden="false" customHeight="false" outlineLevel="0" collapsed="false">
      <c r="A42" s="1" t="s">
        <v>79</v>
      </c>
      <c r="F42" s="1" t="n">
        <f aca="false">Table1[[#This Row],[Fuel before]]-Table1[[#This Row],[Fuel after]]</f>
        <v>0</v>
      </c>
      <c r="G42" s="8"/>
      <c r="H42" s="8"/>
      <c r="I42" s="8"/>
      <c r="J42" s="9" t="n">
        <f aca="false">Table1[[#This Row],[Bottle 1 before]]-Table1[[#This Row],[Bottle 1 after]]</f>
        <v>0</v>
      </c>
      <c r="K42" s="8"/>
      <c r="L42" s="8"/>
      <c r="M42" s="8"/>
      <c r="N42" s="9" t="n">
        <f aca="false">Table1[[#This Row],[Bottle 2 before]]-Table1[[#This Row],[Bottle 2 after]]</f>
        <v>0</v>
      </c>
      <c r="O42" s="10" t="n">
        <f aca="false">Table1[[#This Row],[delta Bottle 1]]+Table1[[#This Row],[delta Bottle 2]]</f>
        <v>0</v>
      </c>
    </row>
    <row r="43" customFormat="false" ht="14.25" hidden="false" customHeight="false" outlineLevel="0" collapsed="false">
      <c r="A43" s="1" t="s">
        <v>80</v>
      </c>
      <c r="F43" s="1" t="n">
        <f aca="false">Table1[[#This Row],[Fuel before]]-Table1[[#This Row],[Fuel after]]</f>
        <v>0</v>
      </c>
      <c r="G43" s="8"/>
      <c r="H43" s="8"/>
      <c r="I43" s="8"/>
      <c r="J43" s="9" t="n">
        <f aca="false">Table1[[#This Row],[Bottle 1 before]]-Table1[[#This Row],[Bottle 1 after]]</f>
        <v>0</v>
      </c>
      <c r="K43" s="8"/>
      <c r="L43" s="8"/>
      <c r="M43" s="8"/>
      <c r="N43" s="9" t="n">
        <f aca="false">Table1[[#This Row],[Bottle 2 before]]-Table1[[#This Row],[Bottle 2 after]]</f>
        <v>0</v>
      </c>
      <c r="O43" s="10" t="n">
        <f aca="false">Table1[[#This Row],[delta Bottle 1]]+Table1[[#This Row],[delta Bottle 2]]</f>
        <v>0</v>
      </c>
    </row>
    <row r="44" customFormat="false" ht="14.25" hidden="false" customHeight="false" outlineLevel="0" collapsed="false">
      <c r="F44" s="1" t="n">
        <f aca="false">Table1[[#This Row],[Fuel before]]-Table1[[#This Row],[Fuel after]]</f>
        <v>0</v>
      </c>
      <c r="J44" s="1" t="n">
        <f aca="false">Table1[[#This Row],[Bottle 1 before]]-Table1[[#This Row],[Bottle 1 after]]</f>
        <v>0</v>
      </c>
      <c r="N44" s="1" t="n">
        <f aca="false">Table1[[#This Row],[Bottle 2 before]]-Table1[[#This Row],[Bottle 2 after]]</f>
        <v>0</v>
      </c>
      <c r="O44" s="3" t="n">
        <f aca="false">Table1[[#This Row],[delta Bottle 1]]+Table1[[#This Row],[delta Bottle 2]]</f>
        <v>0</v>
      </c>
    </row>
    <row r="45" customFormat="false" ht="14.25" hidden="false" customHeight="false" outlineLevel="0" collapsed="false">
      <c r="F45" s="1" t="n">
        <f aca="false">Table1[[#This Row],[Fuel before]]-Table1[[#This Row],[Fuel after]]</f>
        <v>0</v>
      </c>
      <c r="J45" s="1" t="n">
        <f aca="false">Table1[[#This Row],[Bottle 1 before]]-Table1[[#This Row],[Bottle 1 after]]</f>
        <v>0</v>
      </c>
      <c r="N45" s="1" t="n">
        <f aca="false">Table1[[#This Row],[Bottle 2 before]]-Table1[[#This Row],[Bottle 2 after]]</f>
        <v>0</v>
      </c>
      <c r="O45" s="3" t="n">
        <f aca="false">Table1[[#This Row],[delta Bottle 1]]+Table1[[#This Row],[delta Bottle 2]]</f>
        <v>0</v>
      </c>
    </row>
    <row r="46" customFormat="false" ht="14.25" hidden="false" customHeight="false" outlineLevel="0" collapsed="false">
      <c r="F46" s="1" t="n">
        <f aca="false">Table1[[#This Row],[Fuel before]]-Table1[[#This Row],[Fuel after]]</f>
        <v>0</v>
      </c>
      <c r="J46" s="1" t="n">
        <f aca="false">Table1[[#This Row],[Bottle 1 before]]-Table1[[#This Row],[Bottle 1 after]]</f>
        <v>0</v>
      </c>
      <c r="N46" s="1" t="n">
        <f aca="false">Table1[[#This Row],[Bottle 2 before]]-Table1[[#This Row],[Bottle 2 after]]</f>
        <v>0</v>
      </c>
      <c r="O46" s="3" t="n">
        <f aca="false">Table1[[#This Row],[delta Bottle 1]]+Table1[[#This Row],[delta Bottle 2]]</f>
        <v>0</v>
      </c>
    </row>
    <row r="47" customFormat="false" ht="14.25" hidden="false" customHeight="false" outlineLevel="0" collapsed="false">
      <c r="F47" s="1" t="n">
        <f aca="false">Table1[[#This Row],[Fuel before]]-Table1[[#This Row],[Fuel after]]</f>
        <v>0</v>
      </c>
      <c r="J47" s="1" t="n">
        <f aca="false">Table1[[#This Row],[Bottle 1 before]]-Table1[[#This Row],[Bottle 1 after]]</f>
        <v>0</v>
      </c>
      <c r="N47" s="1" t="n">
        <f aca="false">Table1[[#This Row],[Bottle 2 before]]-Table1[[#This Row],[Bottle 2 after]]</f>
        <v>0</v>
      </c>
      <c r="O47" s="3" t="n">
        <f aca="false">Table1[[#This Row],[delta Bottle 1]]+Table1[[#This Row],[delta Bottle 2]]</f>
        <v>0</v>
      </c>
    </row>
    <row r="48" customFormat="false" ht="14.25" hidden="false" customHeight="false" outlineLevel="0" collapsed="false">
      <c r="F48" s="1" t="n">
        <f aca="false">Table1[[#This Row],[Fuel before]]-Table1[[#This Row],[Fuel after]]</f>
        <v>0</v>
      </c>
      <c r="J48" s="1" t="n">
        <f aca="false">Table1[[#This Row],[Bottle 1 before]]-Table1[[#This Row],[Bottle 1 after]]</f>
        <v>0</v>
      </c>
      <c r="N48" s="1" t="n">
        <f aca="false">Table1[[#This Row],[Bottle 2 before]]-Table1[[#This Row],[Bottle 2 after]]</f>
        <v>0</v>
      </c>
      <c r="O48" s="3" t="n">
        <f aca="false">Table1[[#This Row],[delta Bottle 1]]+Table1[[#This Row],[delta Bottle 2]]</f>
        <v>0</v>
      </c>
    </row>
    <row r="49" customFormat="false" ht="14.25" hidden="false" customHeight="false" outlineLevel="0" collapsed="false">
      <c r="F49" s="1" t="n">
        <f aca="false">Table1[[#This Row],[Fuel before]]-Table1[[#This Row],[Fuel after]]</f>
        <v>0</v>
      </c>
      <c r="J49" s="1" t="n">
        <f aca="false">Table1[[#This Row],[Bottle 1 before]]-Table1[[#This Row],[Bottle 1 after]]</f>
        <v>0</v>
      </c>
      <c r="N49" s="1" t="n">
        <f aca="false">Table1[[#This Row],[Bottle 2 before]]-Table1[[#This Row],[Bottle 2 after]]</f>
        <v>0</v>
      </c>
      <c r="O49" s="3" t="n">
        <f aca="false">Table1[[#This Row],[delta Bottle 1]]+Table1[[#This Row],[delta Bottle 2]]</f>
        <v>0</v>
      </c>
    </row>
    <row r="50" customFormat="false" ht="14.25" hidden="false" customHeight="false" outlineLevel="0" collapsed="false">
      <c r="F50" s="1" t="n">
        <f aca="false">Table1[[#This Row],[Fuel before]]-Table1[[#This Row],[Fuel after]]</f>
        <v>0</v>
      </c>
      <c r="J50" s="1" t="n">
        <f aca="false">Table1[[#This Row],[Bottle 1 before]]-Table1[[#This Row],[Bottle 1 after]]</f>
        <v>0</v>
      </c>
      <c r="N50" s="1" t="n">
        <f aca="false">Table1[[#This Row],[Bottle 2 before]]-Table1[[#This Row],[Bottle 2 after]]</f>
        <v>0</v>
      </c>
      <c r="O50" s="3" t="n">
        <f aca="false">Table1[[#This Row],[delta Bottle 1]]+Table1[[#This Row],[delta Bottle 2]]</f>
        <v>0</v>
      </c>
    </row>
    <row r="51" customFormat="false" ht="14.25" hidden="false" customHeight="false" outlineLevel="0" collapsed="false">
      <c r="F51" s="1" t="n">
        <f aca="false">Table1[[#This Row],[Fuel before]]-Table1[[#This Row],[Fuel after]]</f>
        <v>0</v>
      </c>
      <c r="J51" s="1" t="n">
        <f aca="false">Table1[[#This Row],[Bottle 1 before]]-Table1[[#This Row],[Bottle 1 after]]</f>
        <v>0</v>
      </c>
      <c r="N51" s="1" t="n">
        <f aca="false">Table1[[#This Row],[Bottle 2 before]]-Table1[[#This Row],[Bottle 2 after]]</f>
        <v>0</v>
      </c>
      <c r="O51" s="3" t="n">
        <f aca="false">Table1[[#This Row],[delta Bottle 1]]+Table1[[#This Row],[delta Bottle 2]]</f>
        <v>0</v>
      </c>
    </row>
    <row r="52" customFormat="false" ht="14.25" hidden="false" customHeight="false" outlineLevel="0" collapsed="false">
      <c r="F52" s="1" t="n">
        <f aca="false">Table1[[#This Row],[Fuel before]]-Table1[[#This Row],[Fuel after]]</f>
        <v>0</v>
      </c>
      <c r="J52" s="1" t="n">
        <f aca="false">Table1[[#This Row],[Bottle 1 before]]-Table1[[#This Row],[Bottle 1 after]]</f>
        <v>0</v>
      </c>
      <c r="N52" s="1" t="n">
        <f aca="false">Table1[[#This Row],[Bottle 2 before]]-Table1[[#This Row],[Bottle 2 after]]</f>
        <v>0</v>
      </c>
      <c r="O52" s="3" t="n">
        <f aca="false">Table1[[#This Row],[delta Bottle 1]]+Table1[[#This Row],[delta Bottle 2]]</f>
        <v>0</v>
      </c>
    </row>
    <row r="53" customFormat="false" ht="14.25" hidden="false" customHeight="false" outlineLevel="0" collapsed="false">
      <c r="F53" s="1" t="n">
        <f aca="false">Table1[[#This Row],[Fuel before]]-Table1[[#This Row],[Fuel after]]</f>
        <v>0</v>
      </c>
      <c r="J53" s="1" t="n">
        <f aca="false">Table1[[#This Row],[Bottle 1 before]]-Table1[[#This Row],[Bottle 1 after]]</f>
        <v>0</v>
      </c>
      <c r="N53" s="1" t="n">
        <f aca="false">Table1[[#This Row],[Bottle 2 before]]-Table1[[#This Row],[Bottle 2 after]]</f>
        <v>0</v>
      </c>
      <c r="O53" s="3" t="n">
        <f aca="false">Table1[[#This Row],[delta Bottle 1]]+Table1[[#This Row],[delta Bottle 2]]</f>
        <v>0</v>
      </c>
    </row>
    <row r="54" customFormat="false" ht="14.25" hidden="false" customHeight="false" outlineLevel="0" collapsed="false">
      <c r="F54" s="1" t="n">
        <f aca="false">Table1[[#This Row],[Fuel before]]-Table1[[#This Row],[Fuel after]]</f>
        <v>0</v>
      </c>
      <c r="J54" s="1" t="n">
        <f aca="false">Table1[[#This Row],[Bottle 1 before]]-Table1[[#This Row],[Bottle 1 after]]</f>
        <v>0</v>
      </c>
      <c r="N54" s="1" t="n">
        <f aca="false">Table1[[#This Row],[Bottle 2 before]]-Table1[[#This Row],[Bottle 2 after]]</f>
        <v>0</v>
      </c>
      <c r="O54" s="3" t="n">
        <f aca="false">Table1[[#This Row],[delta Bottle 1]]+Table1[[#This Row],[delta Bottle 2]]</f>
        <v>0</v>
      </c>
    </row>
    <row r="55" customFormat="false" ht="14.25" hidden="false" customHeight="false" outlineLevel="0" collapsed="false">
      <c r="F55" s="1" t="n">
        <f aca="false">Table1[[#This Row],[Fuel before]]-Table1[[#This Row],[Fuel after]]</f>
        <v>0</v>
      </c>
      <c r="J55" s="1" t="n">
        <f aca="false">Table1[[#This Row],[Bottle 1 before]]-Table1[[#This Row],[Bottle 1 after]]</f>
        <v>0</v>
      </c>
      <c r="N55" s="1" t="n">
        <f aca="false">Table1[[#This Row],[Bottle 2 before]]-Table1[[#This Row],[Bottle 2 after]]</f>
        <v>0</v>
      </c>
      <c r="O55" s="3" t="n">
        <f aca="false">Table1[[#This Row],[delta Bottle 1]]+Table1[[#This Row],[delta Bottle 2]]</f>
        <v>0</v>
      </c>
    </row>
    <row r="56" customFormat="false" ht="14.25" hidden="false" customHeight="false" outlineLevel="0" collapsed="false">
      <c r="F56" s="1" t="n">
        <f aca="false">Table1[[#This Row],[Fuel before]]-Table1[[#This Row],[Fuel after]]</f>
        <v>0</v>
      </c>
      <c r="J56" s="1" t="n">
        <f aca="false">Table1[[#This Row],[Bottle 1 before]]-Table1[[#This Row],[Bottle 1 after]]</f>
        <v>0</v>
      </c>
      <c r="N56" s="1" t="n">
        <f aca="false">Table1[[#This Row],[Bottle 2 before]]-Table1[[#This Row],[Bottle 2 after]]</f>
        <v>0</v>
      </c>
      <c r="O56" s="3" t="n">
        <f aca="false">Table1[[#This Row],[delta Bottle 1]]+Table1[[#This Row],[delta Bottle 2]]</f>
        <v>0</v>
      </c>
    </row>
    <row r="57" customFormat="false" ht="14.25" hidden="false" customHeight="false" outlineLevel="0" collapsed="false">
      <c r="F57" s="1" t="n">
        <f aca="false">Table1[[#This Row],[Fuel before]]-Table1[[#This Row],[Fuel after]]</f>
        <v>0</v>
      </c>
      <c r="J57" s="1" t="n">
        <f aca="false">Table1[[#This Row],[Bottle 1 before]]-Table1[[#This Row],[Bottle 1 after]]</f>
        <v>0</v>
      </c>
      <c r="N57" s="1" t="n">
        <f aca="false">Table1[[#This Row],[Bottle 2 before]]-Table1[[#This Row],[Bottle 2 after]]</f>
        <v>0</v>
      </c>
      <c r="O57" s="3" t="n">
        <f aca="false">Table1[[#This Row],[delta Bottle 1]]+Table1[[#This Row],[delta Bottle 2]]</f>
        <v>0</v>
      </c>
    </row>
    <row r="58" customFormat="false" ht="14.25" hidden="false" customHeight="false" outlineLevel="0" collapsed="false">
      <c r="F58" s="1" t="n">
        <f aca="false">Table1[[#This Row],[Fuel before]]-Table1[[#This Row],[Fuel after]]</f>
        <v>0</v>
      </c>
      <c r="J58" s="1" t="n">
        <f aca="false">Table1[[#This Row],[Bottle 1 before]]-Table1[[#This Row],[Bottle 1 after]]</f>
        <v>0</v>
      </c>
      <c r="N58" s="1" t="n">
        <f aca="false">Table1[[#This Row],[Bottle 2 before]]-Table1[[#This Row],[Bottle 2 after]]</f>
        <v>0</v>
      </c>
      <c r="O58" s="3" t="n">
        <f aca="false">Table1[[#This Row],[delta Bottle 1]]+Table1[[#This Row],[delta Bottle 2]]</f>
        <v>0</v>
      </c>
    </row>
    <row r="59" customFormat="false" ht="14.25" hidden="false" customHeight="false" outlineLevel="0" collapsed="false">
      <c r="F59" s="1" t="n">
        <f aca="false">Table1[[#This Row],[Fuel before]]-Table1[[#This Row],[Fuel after]]</f>
        <v>0</v>
      </c>
      <c r="J59" s="1" t="n">
        <f aca="false">Table1[[#This Row],[Bottle 1 before]]-Table1[[#This Row],[Bottle 1 after]]</f>
        <v>0</v>
      </c>
      <c r="N59" s="1" t="n">
        <f aca="false">Table1[[#This Row],[Bottle 2 before]]-Table1[[#This Row],[Bottle 2 after]]</f>
        <v>0</v>
      </c>
      <c r="O59" s="3" t="n">
        <f aca="false">Table1[[#This Row],[delta Bottle 1]]+Table1[[#This Row],[delta Bottle 2]]</f>
        <v>0</v>
      </c>
    </row>
    <row r="60" customFormat="false" ht="14.25" hidden="false" customHeight="false" outlineLevel="0" collapsed="false">
      <c r="F60" s="1" t="n">
        <f aca="false">Table1[[#This Row],[Fuel before]]-Table1[[#This Row],[Fuel after]]</f>
        <v>0</v>
      </c>
      <c r="J60" s="1" t="n">
        <f aca="false">Table1[[#This Row],[Bottle 1 before]]-Table1[[#This Row],[Bottle 1 after]]</f>
        <v>0</v>
      </c>
      <c r="N60" s="1" t="n">
        <f aca="false">Table1[[#This Row],[Bottle 2 before]]-Table1[[#This Row],[Bottle 2 after]]</f>
        <v>0</v>
      </c>
      <c r="O60" s="3" t="n">
        <f aca="false">Table1[[#This Row],[delta Bottle 1]]+Table1[[#This Row],[delta Bottle 2]]</f>
        <v>0</v>
      </c>
    </row>
    <row r="61" customFormat="false" ht="14.25" hidden="false" customHeight="false" outlineLevel="0" collapsed="false">
      <c r="F61" s="1" t="n">
        <f aca="false">Table1[[#This Row],[Fuel before]]-Table1[[#This Row],[Fuel after]]</f>
        <v>0</v>
      </c>
      <c r="J61" s="1" t="n">
        <f aca="false">Table1[[#This Row],[Bottle 1 before]]-Table1[[#This Row],[Bottle 1 after]]</f>
        <v>0</v>
      </c>
      <c r="N61" s="1" t="n">
        <f aca="false">Table1[[#This Row],[Bottle 2 before]]-Table1[[#This Row],[Bottle 2 after]]</f>
        <v>0</v>
      </c>
      <c r="O61" s="3" t="n">
        <f aca="false">Table1[[#This Row],[delta Bottle 1]]+Table1[[#This Row],[delta Bottle 2]]</f>
        <v>0</v>
      </c>
    </row>
    <row r="62" customFormat="false" ht="14.25" hidden="false" customHeight="false" outlineLevel="0" collapsed="false">
      <c r="F62" s="1" t="n">
        <f aca="false">Table1[[#This Row],[Fuel before]]-Table1[[#This Row],[Fuel after]]</f>
        <v>0</v>
      </c>
      <c r="J62" s="1" t="n">
        <f aca="false">Table1[[#This Row],[Bottle 1 before]]-Table1[[#This Row],[Bottle 1 after]]</f>
        <v>0</v>
      </c>
      <c r="N62" s="1" t="n">
        <f aca="false">Table1[[#This Row],[Bottle 2 before]]-Table1[[#This Row],[Bottle 2 after]]</f>
        <v>0</v>
      </c>
      <c r="O62" s="3" t="n">
        <f aca="false">Table1[[#This Row],[delta Bottle 1]]+Table1[[#This Row],[delta Bottle 2]]</f>
        <v>0</v>
      </c>
    </row>
    <row r="63" customFormat="false" ht="14.25" hidden="false" customHeight="false" outlineLevel="0" collapsed="false">
      <c r="F63" s="1" t="n">
        <f aca="false">Table1[[#This Row],[Fuel before]]-Table1[[#This Row],[Fuel after]]</f>
        <v>0</v>
      </c>
      <c r="J63" s="1" t="n">
        <f aca="false">Table1[[#This Row],[Bottle 1 before]]-Table1[[#This Row],[Bottle 1 after]]</f>
        <v>0</v>
      </c>
      <c r="N63" s="1" t="n">
        <f aca="false">Table1[[#This Row],[Bottle 2 before]]-Table1[[#This Row],[Bottle 2 after]]</f>
        <v>0</v>
      </c>
      <c r="O63" s="3" t="n">
        <f aca="false">Table1[[#This Row],[delta Bottle 1]]+Table1[[#This Row],[delta Bottle 2]]</f>
        <v>0</v>
      </c>
    </row>
    <row r="64" customFormat="false" ht="14.25" hidden="false" customHeight="false" outlineLevel="0" collapsed="false">
      <c r="F64" s="1" t="n">
        <f aca="false">Table1[[#This Row],[Fuel before]]-Table1[[#This Row],[Fuel after]]</f>
        <v>0</v>
      </c>
      <c r="J64" s="1" t="n">
        <f aca="false">Table1[[#This Row],[Bottle 1 before]]-Table1[[#This Row],[Bottle 1 after]]</f>
        <v>0</v>
      </c>
      <c r="N64" s="1" t="n">
        <f aca="false">Table1[[#This Row],[Bottle 2 before]]-Table1[[#This Row],[Bottle 2 after]]</f>
        <v>0</v>
      </c>
      <c r="O64" s="3" t="n">
        <f aca="false">Table1[[#This Row],[delta Bottle 1]]+Table1[[#This Row],[delta Bottle 2]]</f>
        <v>0</v>
      </c>
    </row>
    <row r="65" customFormat="false" ht="14.25" hidden="false" customHeight="false" outlineLevel="0" collapsed="false">
      <c r="F65" s="1" t="n">
        <f aca="false">Table1[[#This Row],[Fuel before]]-Table1[[#This Row],[Fuel after]]</f>
        <v>0</v>
      </c>
      <c r="J65" s="1" t="n">
        <f aca="false">Table1[[#This Row],[Bottle 1 before]]-Table1[[#This Row],[Bottle 1 after]]</f>
        <v>0</v>
      </c>
      <c r="N65" s="1" t="n">
        <f aca="false">Table1[[#This Row],[Bottle 2 before]]-Table1[[#This Row],[Bottle 2 after]]</f>
        <v>0</v>
      </c>
      <c r="O65" s="3" t="n">
        <f aca="false">Table1[[#This Row],[delta Bottle 1]]+Table1[[#This Row],[delta Bottle 2]]</f>
        <v>0</v>
      </c>
    </row>
    <row r="66" customFormat="false" ht="14.25" hidden="false" customHeight="false" outlineLevel="0" collapsed="false">
      <c r="F66" s="1" t="n">
        <f aca="false">Table1[[#This Row],[Fuel before]]-Table1[[#This Row],[Fuel after]]</f>
        <v>0</v>
      </c>
      <c r="J66" s="1" t="n">
        <f aca="false">Table1[[#This Row],[Bottle 1 before]]-Table1[[#This Row],[Bottle 1 after]]</f>
        <v>0</v>
      </c>
      <c r="N66" s="1" t="n">
        <f aca="false">Table1[[#This Row],[Bottle 2 before]]-Table1[[#This Row],[Bottle 2 after]]</f>
        <v>0</v>
      </c>
      <c r="O66" s="3" t="n">
        <f aca="false">Table1[[#This Row],[delta Bottle 1]]+Table1[[#This Row],[delta Bottle 2]]</f>
        <v>0</v>
      </c>
    </row>
    <row r="67" customFormat="false" ht="14.25" hidden="false" customHeight="false" outlineLevel="0" collapsed="false">
      <c r="F67" s="1" t="n">
        <f aca="false">Table1[[#This Row],[Fuel before]]-Table1[[#This Row],[Fuel after]]</f>
        <v>0</v>
      </c>
      <c r="J67" s="1" t="n">
        <f aca="false">Table1[[#This Row],[Bottle 1 before]]-Table1[[#This Row],[Bottle 1 after]]</f>
        <v>0</v>
      </c>
      <c r="N67" s="1" t="n">
        <f aca="false">Table1[[#This Row],[Bottle 2 before]]-Table1[[#This Row],[Bottle 2 after]]</f>
        <v>0</v>
      </c>
      <c r="O67" s="3" t="n">
        <f aca="false">Table1[[#This Row],[delta Bottle 1]]+Table1[[#This Row],[delta Bottle 2]]</f>
        <v>0</v>
      </c>
    </row>
    <row r="68" customFormat="false" ht="14.25" hidden="false" customHeight="false" outlineLevel="0" collapsed="false">
      <c r="F68" s="1" t="n">
        <f aca="false">Table1[[#This Row],[Fuel before]]-Table1[[#This Row],[Fuel after]]</f>
        <v>0</v>
      </c>
      <c r="J68" s="1" t="n">
        <f aca="false">Table1[[#This Row],[Bottle 1 before]]-Table1[[#This Row],[Bottle 1 after]]</f>
        <v>0</v>
      </c>
      <c r="N68" s="1" t="n">
        <f aca="false">Table1[[#This Row],[Bottle 2 before]]-Table1[[#This Row],[Bottle 2 after]]</f>
        <v>0</v>
      </c>
      <c r="O68" s="3" t="n">
        <f aca="false">Table1[[#This Row],[delta Bottle 1]]+Table1[[#This Row],[delta Bottle 2]]</f>
        <v>0</v>
      </c>
    </row>
    <row r="69" customFormat="false" ht="14.25" hidden="false" customHeight="false" outlineLevel="0" collapsed="false">
      <c r="F69" s="1" t="n">
        <f aca="false">Table1[[#This Row],[Fuel before]]-Table1[[#This Row],[Fuel after]]</f>
        <v>0</v>
      </c>
      <c r="J69" s="1" t="n">
        <f aca="false">Table1[[#This Row],[Bottle 1 before]]-Table1[[#This Row],[Bottle 1 after]]</f>
        <v>0</v>
      </c>
      <c r="N69" s="1" t="n">
        <f aca="false">Table1[[#This Row],[Bottle 2 before]]-Table1[[#This Row],[Bottle 2 after]]</f>
        <v>0</v>
      </c>
      <c r="O69" s="3" t="n">
        <f aca="false">Table1[[#This Row],[delta Bottle 1]]+Table1[[#This Row],[delta Bottle 2]]</f>
        <v>0</v>
      </c>
    </row>
    <row r="70" customFormat="false" ht="14.25" hidden="false" customHeight="false" outlineLevel="0" collapsed="false">
      <c r="F70" s="1" t="n">
        <f aca="false">Table1[[#This Row],[Fuel before]]-Table1[[#This Row],[Fuel after]]</f>
        <v>0</v>
      </c>
      <c r="J70" s="1" t="n">
        <f aca="false">Table1[[#This Row],[Bottle 1 before]]-Table1[[#This Row],[Bottle 1 after]]</f>
        <v>0</v>
      </c>
      <c r="N70" s="1" t="n">
        <f aca="false">Table1[[#This Row],[Bottle 2 before]]-Table1[[#This Row],[Bottle 2 after]]</f>
        <v>0</v>
      </c>
      <c r="O70" s="3" t="n">
        <f aca="false">Table1[[#This Row],[delta Bottle 1]]+Table1[[#This Row],[delta Bottle 2]]</f>
        <v>0</v>
      </c>
    </row>
    <row r="71" customFormat="false" ht="14.25" hidden="false" customHeight="false" outlineLevel="0" collapsed="false">
      <c r="F71" s="1" t="n">
        <f aca="false">Table1[[#This Row],[Fuel before]]-Table1[[#This Row],[Fuel after]]</f>
        <v>0</v>
      </c>
      <c r="J71" s="1" t="n">
        <f aca="false">Table1[[#This Row],[Bottle 1 before]]-Table1[[#This Row],[Bottle 1 after]]</f>
        <v>0</v>
      </c>
      <c r="N71" s="1" t="n">
        <f aca="false">Table1[[#This Row],[Bottle 2 before]]-Table1[[#This Row],[Bottle 2 after]]</f>
        <v>0</v>
      </c>
      <c r="O71" s="3" t="n">
        <f aca="false">Table1[[#This Row],[delta Bottle 1]]+Table1[[#This Row],[delta Bottle 2]]</f>
        <v>0</v>
      </c>
    </row>
    <row r="72" customFormat="false" ht="14.25" hidden="false" customHeight="false" outlineLevel="0" collapsed="false">
      <c r="F72" s="1" t="n">
        <f aca="false">Table1[[#This Row],[Fuel before]]-Table1[[#This Row],[Fuel after]]</f>
        <v>0</v>
      </c>
      <c r="J72" s="1" t="n">
        <f aca="false">Table1[[#This Row],[Bottle 1 before]]-Table1[[#This Row],[Bottle 1 after]]</f>
        <v>0</v>
      </c>
      <c r="N72" s="1" t="n">
        <f aca="false">Table1[[#This Row],[Bottle 2 before]]-Table1[[#This Row],[Bottle 2 after]]</f>
        <v>0</v>
      </c>
      <c r="O72" s="3" t="n">
        <f aca="false">Table1[[#This Row],[delta Bottle 1]]+Table1[[#This Row],[delta Bottle 2]]</f>
        <v>0</v>
      </c>
    </row>
    <row r="73" customFormat="false" ht="14.25" hidden="false" customHeight="false" outlineLevel="0" collapsed="false">
      <c r="F73" s="1" t="n">
        <f aca="false">Table1[[#This Row],[Fuel before]]-Table1[[#This Row],[Fuel after]]</f>
        <v>0</v>
      </c>
      <c r="J73" s="1" t="n">
        <f aca="false">Table1[[#This Row],[Bottle 1 before]]-Table1[[#This Row],[Bottle 1 after]]</f>
        <v>0</v>
      </c>
      <c r="N73" s="1" t="n">
        <f aca="false">Table1[[#This Row],[Bottle 2 before]]-Table1[[#This Row],[Bottle 2 after]]</f>
        <v>0</v>
      </c>
      <c r="O73" s="3" t="n">
        <f aca="false">Table1[[#This Row],[delta Bottle 1]]+Table1[[#This Row],[delta Bottle 2]]</f>
        <v>0</v>
      </c>
    </row>
    <row r="74" customFormat="false" ht="14.25" hidden="false" customHeight="false" outlineLevel="0" collapsed="false">
      <c r="F74" s="1" t="n">
        <f aca="false">Table1[[#This Row],[Fuel before]]-Table1[[#This Row],[Fuel after]]</f>
        <v>0</v>
      </c>
      <c r="J74" s="1" t="n">
        <f aca="false">Table1[[#This Row],[Bottle 1 before]]-Table1[[#This Row],[Bottle 1 after]]</f>
        <v>0</v>
      </c>
      <c r="N74" s="1" t="n">
        <f aca="false">Table1[[#This Row],[Bottle 2 before]]-Table1[[#This Row],[Bottle 2 after]]</f>
        <v>0</v>
      </c>
      <c r="O74" s="3" t="n">
        <f aca="false">Table1[[#This Row],[delta Bottle 1]]+Table1[[#This Row],[delta Bottle 2]]</f>
        <v>0</v>
      </c>
    </row>
    <row r="75" customFormat="false" ht="14.25" hidden="false" customHeight="false" outlineLevel="0" collapsed="false">
      <c r="F75" s="1" t="n">
        <f aca="false">Table1[[#This Row],[Fuel before]]-Table1[[#This Row],[Fuel after]]</f>
        <v>0</v>
      </c>
      <c r="J75" s="1" t="n">
        <f aca="false">Table1[[#This Row],[Bottle 1 before]]-Table1[[#This Row],[Bottle 1 after]]</f>
        <v>0</v>
      </c>
      <c r="N75" s="1" t="n">
        <f aca="false">Table1[[#This Row],[Bottle 2 before]]-Table1[[#This Row],[Bottle 2 after]]</f>
        <v>0</v>
      </c>
      <c r="O75" s="3" t="n">
        <f aca="false">Table1[[#This Row],[delta Bottle 1]]+Table1[[#This Row],[delta Bottle 2]]</f>
        <v>0</v>
      </c>
    </row>
    <row r="76" customFormat="false" ht="14.25" hidden="false" customHeight="false" outlineLevel="0" collapsed="false">
      <c r="F76" s="1" t="n">
        <f aca="false">Table1[[#This Row],[Fuel before]]-Table1[[#This Row],[Fuel after]]</f>
        <v>0</v>
      </c>
      <c r="J76" s="1" t="n">
        <f aca="false">Table1[[#This Row],[Bottle 1 before]]-Table1[[#This Row],[Bottle 1 after]]</f>
        <v>0</v>
      </c>
      <c r="N76" s="1" t="n">
        <f aca="false">Table1[[#This Row],[Bottle 2 before]]-Table1[[#This Row],[Bottle 2 after]]</f>
        <v>0</v>
      </c>
      <c r="O76" s="3" t="n">
        <f aca="false">Table1[[#This Row],[delta Bottle 1]]+Table1[[#This Row],[delta Bottle 2]]</f>
        <v>0</v>
      </c>
    </row>
    <row r="77" customFormat="false" ht="14.25" hidden="false" customHeight="false" outlineLevel="0" collapsed="false">
      <c r="F77" s="1" t="n">
        <f aca="false">Table1[[#This Row],[Fuel before]]-Table1[[#This Row],[Fuel after]]</f>
        <v>0</v>
      </c>
      <c r="J77" s="1" t="n">
        <f aca="false">Table1[[#This Row],[Bottle 1 before]]-Table1[[#This Row],[Bottle 1 after]]</f>
        <v>0</v>
      </c>
      <c r="N77" s="1" t="n">
        <f aca="false">Table1[[#This Row],[Bottle 2 before]]-Table1[[#This Row],[Bottle 2 after]]</f>
        <v>0</v>
      </c>
      <c r="O77" s="3" t="n">
        <f aca="false">Table1[[#This Row],[delta Bottle 1]]+Table1[[#This Row],[delta Bottle 2]]</f>
        <v>0</v>
      </c>
    </row>
    <row r="78" customFormat="false" ht="14.25" hidden="false" customHeight="false" outlineLevel="0" collapsed="false">
      <c r="F78" s="1" t="n">
        <f aca="false">Table1[[#This Row],[Fuel before]]-Table1[[#This Row],[Fuel after]]</f>
        <v>0</v>
      </c>
      <c r="J78" s="1" t="n">
        <f aca="false">Table1[[#This Row],[Bottle 1 before]]-Table1[[#This Row],[Bottle 1 after]]</f>
        <v>0</v>
      </c>
      <c r="N78" s="1" t="n">
        <f aca="false">Table1[[#This Row],[Bottle 2 before]]-Table1[[#This Row],[Bottle 2 after]]</f>
        <v>0</v>
      </c>
      <c r="O78" s="3" t="n">
        <f aca="false">Table1[[#This Row],[delta Bottle 1]]+Table1[[#This Row],[delta Bottle 2]]</f>
        <v>0</v>
      </c>
    </row>
    <row r="79" customFormat="false" ht="14.25" hidden="false" customHeight="false" outlineLevel="0" collapsed="false">
      <c r="F79" s="1" t="n">
        <f aca="false">Table1[[#This Row],[Fuel before]]-Table1[[#This Row],[Fuel after]]</f>
        <v>0</v>
      </c>
      <c r="J79" s="1" t="n">
        <f aca="false">Table1[[#This Row],[Bottle 1 before]]-Table1[[#This Row],[Bottle 1 after]]</f>
        <v>0</v>
      </c>
      <c r="N79" s="1" t="n">
        <f aca="false">Table1[[#This Row],[Bottle 2 before]]-Table1[[#This Row],[Bottle 2 after]]</f>
        <v>0</v>
      </c>
      <c r="O79" s="3" t="n">
        <f aca="false">Table1[[#This Row],[delta Bottle 1]]+Table1[[#This Row],[delta Bottle 2]]</f>
        <v>0</v>
      </c>
    </row>
    <row r="80" customFormat="false" ht="14.25" hidden="false" customHeight="false" outlineLevel="0" collapsed="false">
      <c r="F80" s="1" t="n">
        <f aca="false">Table1[[#This Row],[Fuel before]]-Table1[[#This Row],[Fuel after]]</f>
        <v>0</v>
      </c>
      <c r="J80" s="1" t="n">
        <f aca="false">Table1[[#This Row],[Bottle 1 before]]-Table1[[#This Row],[Bottle 1 after]]</f>
        <v>0</v>
      </c>
      <c r="N80" s="1" t="n">
        <f aca="false">Table1[[#This Row],[Bottle 2 before]]-Table1[[#This Row],[Bottle 2 after]]</f>
        <v>0</v>
      </c>
      <c r="O80" s="3" t="n">
        <f aca="false">Table1[[#This Row],[delta Bottle 1]]+Table1[[#This Row],[delta Bottle 2]]</f>
        <v>0</v>
      </c>
    </row>
    <row r="81" customFormat="false" ht="14.25" hidden="false" customHeight="false" outlineLevel="0" collapsed="false">
      <c r="F81" s="1" t="n">
        <f aca="false">Table1[[#This Row],[Fuel before]]-Table1[[#This Row],[Fuel after]]</f>
        <v>0</v>
      </c>
      <c r="J81" s="1" t="n">
        <f aca="false">Table1[[#This Row],[Bottle 1 before]]-Table1[[#This Row],[Bottle 1 after]]</f>
        <v>0</v>
      </c>
      <c r="N81" s="1" t="n">
        <f aca="false">Table1[[#This Row],[Bottle 2 before]]-Table1[[#This Row],[Bottle 2 after]]</f>
        <v>0</v>
      </c>
      <c r="O81" s="3" t="n">
        <f aca="false">Table1[[#This Row],[delta Bottle 1]]+Table1[[#This Row],[delta Bottle 2]]</f>
        <v>0</v>
      </c>
    </row>
    <row r="82" customFormat="false" ht="14.25" hidden="false" customHeight="false" outlineLevel="0" collapsed="false">
      <c r="F82" s="1" t="n">
        <f aca="false">Table1[[#This Row],[Fuel before]]-Table1[[#This Row],[Fuel after]]</f>
        <v>0</v>
      </c>
      <c r="J82" s="1" t="n">
        <f aca="false">Table1[[#This Row],[Bottle 1 before]]-Table1[[#This Row],[Bottle 1 after]]</f>
        <v>0</v>
      </c>
      <c r="N82" s="1" t="n">
        <f aca="false">Table1[[#This Row],[Bottle 2 before]]-Table1[[#This Row],[Bottle 2 after]]</f>
        <v>0</v>
      </c>
      <c r="O82" s="3" t="n">
        <f aca="false">Table1[[#This Row],[delta Bottle 1]]+Table1[[#This Row],[delta Bottle 2]]</f>
        <v>0</v>
      </c>
    </row>
    <row r="83" customFormat="false" ht="14.25" hidden="false" customHeight="false" outlineLevel="0" collapsed="false">
      <c r="F83" s="1" t="n">
        <f aca="false">Table1[[#This Row],[Fuel before]]-Table1[[#This Row],[Fuel after]]</f>
        <v>0</v>
      </c>
      <c r="J83" s="1" t="n">
        <f aca="false">Table1[[#This Row],[Bottle 1 before]]-Table1[[#This Row],[Bottle 1 after]]</f>
        <v>0</v>
      </c>
      <c r="N83" s="1" t="n">
        <f aca="false">Table1[[#This Row],[Bottle 2 before]]-Table1[[#This Row],[Bottle 2 after]]</f>
        <v>0</v>
      </c>
      <c r="O83" s="3" t="n">
        <f aca="false">Table1[[#This Row],[delta Bottle 1]]+Table1[[#This Row],[delta Bottle 2]]</f>
        <v>0</v>
      </c>
    </row>
    <row r="84" customFormat="false" ht="14.25" hidden="false" customHeight="false" outlineLevel="0" collapsed="false">
      <c r="F84" s="1" t="n">
        <f aca="false">Table1[[#This Row],[Fuel before]]-Table1[[#This Row],[Fuel after]]</f>
        <v>0</v>
      </c>
      <c r="J84" s="1" t="n">
        <f aca="false">Table1[[#This Row],[Bottle 1 before]]-Table1[[#This Row],[Bottle 1 after]]</f>
        <v>0</v>
      </c>
      <c r="N84" s="1" t="n">
        <f aca="false">Table1[[#This Row],[Bottle 2 before]]-Table1[[#This Row],[Bottle 2 after]]</f>
        <v>0</v>
      </c>
      <c r="O84" s="3" t="n">
        <f aca="false">Table1[[#This Row],[delta Bottle 1]]+Table1[[#This Row],[delta Bottle 2]]</f>
        <v>0</v>
      </c>
    </row>
    <row r="85" customFormat="false" ht="14.25" hidden="false" customHeight="false" outlineLevel="0" collapsed="false">
      <c r="F85" s="1" t="n">
        <f aca="false">Table1[[#This Row],[Fuel before]]-Table1[[#This Row],[Fuel after]]</f>
        <v>0</v>
      </c>
      <c r="J85" s="1" t="n">
        <f aca="false">Table1[[#This Row],[Bottle 1 before]]-Table1[[#This Row],[Bottle 1 after]]</f>
        <v>0</v>
      </c>
      <c r="N85" s="1" t="n">
        <f aca="false">Table1[[#This Row],[Bottle 2 before]]-Table1[[#This Row],[Bottle 2 after]]</f>
        <v>0</v>
      </c>
      <c r="O85" s="3" t="n">
        <f aca="false">Table1[[#This Row],[delta Bottle 1]]+Table1[[#This Row],[delta Bottle 2]]</f>
        <v>0</v>
      </c>
    </row>
    <row r="86" customFormat="false" ht="14.25" hidden="false" customHeight="false" outlineLevel="0" collapsed="false">
      <c r="F86" s="1" t="n">
        <f aca="false">Table1[[#This Row],[Fuel before]]-Table1[[#This Row],[Fuel after]]</f>
        <v>0</v>
      </c>
      <c r="J86" s="1" t="n">
        <f aca="false">Table1[[#This Row],[Bottle 1 before]]-Table1[[#This Row],[Bottle 1 after]]</f>
        <v>0</v>
      </c>
      <c r="N86" s="1" t="n">
        <f aca="false">Table1[[#This Row],[Bottle 2 before]]-Table1[[#This Row],[Bottle 2 after]]</f>
        <v>0</v>
      </c>
      <c r="O86" s="3" t="n">
        <f aca="false">Table1[[#This Row],[delta Bottle 1]]+Table1[[#This Row],[delta Bottle 2]]</f>
        <v>0</v>
      </c>
    </row>
    <row r="87" customFormat="false" ht="14.25" hidden="false" customHeight="false" outlineLevel="0" collapsed="false">
      <c r="F87" s="1" t="n">
        <f aca="false">Table1[[#This Row],[Fuel before]]-Table1[[#This Row],[Fuel after]]</f>
        <v>0</v>
      </c>
      <c r="J87" s="1" t="n">
        <f aca="false">Table1[[#This Row],[Bottle 1 before]]-Table1[[#This Row],[Bottle 1 after]]</f>
        <v>0</v>
      </c>
      <c r="N87" s="1" t="n">
        <f aca="false">Table1[[#This Row],[Bottle 2 before]]-Table1[[#This Row],[Bottle 2 after]]</f>
        <v>0</v>
      </c>
      <c r="O87" s="3" t="n">
        <f aca="false">Table1[[#This Row],[delta Bottle 1]]+Table1[[#This Row],[delta Bottle 2]]</f>
        <v>0</v>
      </c>
    </row>
    <row r="88" customFormat="false" ht="14.25" hidden="false" customHeight="false" outlineLevel="0" collapsed="false">
      <c r="F88" s="1" t="n">
        <f aca="false">Table1[[#This Row],[Fuel before]]-Table1[[#This Row],[Fuel after]]</f>
        <v>0</v>
      </c>
      <c r="J88" s="1" t="n">
        <f aca="false">Table1[[#This Row],[Bottle 1 before]]-Table1[[#This Row],[Bottle 1 after]]</f>
        <v>0</v>
      </c>
      <c r="N88" s="1" t="n">
        <f aca="false">Table1[[#This Row],[Bottle 2 before]]-Table1[[#This Row],[Bottle 2 after]]</f>
        <v>0</v>
      </c>
      <c r="O88" s="3" t="n">
        <f aca="false">Table1[[#This Row],[delta Bottle 1]]+Table1[[#This Row],[delta Bottle 2]]</f>
        <v>0</v>
      </c>
    </row>
    <row r="89" customFormat="false" ht="14.25" hidden="false" customHeight="false" outlineLevel="0" collapsed="false">
      <c r="F89" s="1" t="n">
        <f aca="false">Table1[[#This Row],[Fuel before]]-Table1[[#This Row],[Fuel after]]</f>
        <v>0</v>
      </c>
      <c r="J89" s="1" t="n">
        <f aca="false">Table1[[#This Row],[Bottle 1 before]]-Table1[[#This Row],[Bottle 1 after]]</f>
        <v>0</v>
      </c>
      <c r="N89" s="1" t="n">
        <f aca="false">Table1[[#This Row],[Bottle 2 before]]-Table1[[#This Row],[Bottle 2 after]]</f>
        <v>0</v>
      </c>
      <c r="O89" s="3" t="n">
        <f aca="false">Table1[[#This Row],[delta Bottle 1]]+Table1[[#This Row],[delta Bottle 2]]</f>
        <v>0</v>
      </c>
    </row>
    <row r="90" customFormat="false" ht="14.25" hidden="false" customHeight="false" outlineLevel="0" collapsed="false">
      <c r="F90" s="1" t="n">
        <f aca="false">Table1[[#This Row],[Fuel before]]-Table1[[#This Row],[Fuel after]]</f>
        <v>0</v>
      </c>
      <c r="J90" s="1" t="n">
        <f aca="false">Table1[[#This Row],[Bottle 1 before]]-Table1[[#This Row],[Bottle 1 after]]</f>
        <v>0</v>
      </c>
      <c r="N90" s="1" t="n">
        <f aca="false">Table1[[#This Row],[Bottle 2 before]]-Table1[[#This Row],[Bottle 2 after]]</f>
        <v>0</v>
      </c>
      <c r="O90" s="3" t="n">
        <f aca="false">Table1[[#This Row],[delta Bottle 1]]+Table1[[#This Row],[delta Bottle 2]]</f>
        <v>0</v>
      </c>
    </row>
    <row r="91" customFormat="false" ht="14.25" hidden="false" customHeight="false" outlineLevel="0" collapsed="false">
      <c r="F91" s="1" t="n">
        <f aca="false">Table1[[#This Row],[Fuel before]]-Table1[[#This Row],[Fuel after]]</f>
        <v>0</v>
      </c>
      <c r="J91" s="1" t="n">
        <f aca="false">Table1[[#This Row],[Bottle 1 before]]-Table1[[#This Row],[Bottle 1 after]]</f>
        <v>0</v>
      </c>
      <c r="N91" s="1" t="n">
        <f aca="false">Table1[[#This Row],[Bottle 2 before]]-Table1[[#This Row],[Bottle 2 after]]</f>
        <v>0</v>
      </c>
      <c r="O91" s="3" t="n">
        <f aca="false">Table1[[#This Row],[delta Bottle 1]]+Table1[[#This Row],[delta Bottle 2]]</f>
        <v>0</v>
      </c>
    </row>
    <row r="92" customFormat="false" ht="14.25" hidden="false" customHeight="false" outlineLevel="0" collapsed="false">
      <c r="F92" s="1" t="n">
        <f aca="false">Table1[[#This Row],[Fuel before]]-Table1[[#This Row],[Fuel after]]</f>
        <v>0</v>
      </c>
      <c r="J92" s="1" t="n">
        <f aca="false">Table1[[#This Row],[Bottle 1 before]]-Table1[[#This Row],[Bottle 1 after]]</f>
        <v>0</v>
      </c>
      <c r="N92" s="1" t="n">
        <f aca="false">Table1[[#This Row],[Bottle 2 before]]-Table1[[#This Row],[Bottle 2 after]]</f>
        <v>0</v>
      </c>
      <c r="O92" s="3" t="n">
        <f aca="false">Table1[[#This Row],[delta Bottle 1]]+Table1[[#This Row],[delta Bottle 2]]</f>
        <v>0</v>
      </c>
    </row>
    <row r="93" customFormat="false" ht="14.25" hidden="false" customHeight="false" outlineLevel="0" collapsed="false">
      <c r="F93" s="1" t="n">
        <f aca="false">Table1[[#This Row],[Fuel before]]-Table1[[#This Row],[Fuel after]]</f>
        <v>0</v>
      </c>
      <c r="J93" s="1" t="n">
        <f aca="false">Table1[[#This Row],[Bottle 1 before]]-Table1[[#This Row],[Bottle 1 after]]</f>
        <v>0</v>
      </c>
      <c r="N93" s="1" t="n">
        <f aca="false">Table1[[#This Row],[Bottle 2 before]]-Table1[[#This Row],[Bottle 2 after]]</f>
        <v>0</v>
      </c>
      <c r="O93" s="3" t="n">
        <f aca="false">Table1[[#This Row],[delta Bottle 1]]+Table1[[#This Row],[delta Bottle 2]]</f>
        <v>0</v>
      </c>
    </row>
    <row r="94" customFormat="false" ht="14.25" hidden="false" customHeight="false" outlineLevel="0" collapsed="false">
      <c r="F94" s="1" t="n">
        <f aca="false">Table1[[#This Row],[Fuel before]]-Table1[[#This Row],[Fuel after]]</f>
        <v>0</v>
      </c>
      <c r="J94" s="1" t="n">
        <f aca="false">Table1[[#This Row],[Bottle 1 before]]-Table1[[#This Row],[Bottle 1 after]]</f>
        <v>0</v>
      </c>
      <c r="N94" s="1" t="n">
        <f aca="false">Table1[[#This Row],[Bottle 2 before]]-Table1[[#This Row],[Bottle 2 after]]</f>
        <v>0</v>
      </c>
      <c r="O94" s="3" t="n">
        <f aca="false">Table1[[#This Row],[delta Bottle 1]]+Table1[[#This Row],[delta Bottle 2]]</f>
        <v>0</v>
      </c>
    </row>
    <row r="95" customFormat="false" ht="14.25" hidden="false" customHeight="false" outlineLevel="0" collapsed="false">
      <c r="F95" s="1" t="n">
        <f aca="false">Table1[[#This Row],[Fuel before]]-Table1[[#This Row],[Fuel after]]</f>
        <v>0</v>
      </c>
      <c r="J95" s="1" t="n">
        <f aca="false">Table1[[#This Row],[Bottle 1 before]]-Table1[[#This Row],[Bottle 1 after]]</f>
        <v>0</v>
      </c>
      <c r="N95" s="1" t="n">
        <f aca="false">Table1[[#This Row],[Bottle 2 before]]-Table1[[#This Row],[Bottle 2 after]]</f>
        <v>0</v>
      </c>
      <c r="O95" s="3" t="n">
        <f aca="false">Table1[[#This Row],[delta Bottle 1]]+Table1[[#This Row],[delta Bottle 2]]</f>
        <v>0</v>
      </c>
    </row>
    <row r="96" customFormat="false" ht="14.25" hidden="false" customHeight="false" outlineLevel="0" collapsed="false">
      <c r="F96" s="1" t="n">
        <f aca="false">Table1[[#This Row],[Fuel before]]-Table1[[#This Row],[Fuel after]]</f>
        <v>0</v>
      </c>
      <c r="J96" s="1" t="n">
        <f aca="false">Table1[[#This Row],[Bottle 1 before]]-Table1[[#This Row],[Bottle 1 after]]</f>
        <v>0</v>
      </c>
      <c r="N96" s="1" t="n">
        <f aca="false">Table1[[#This Row],[Bottle 2 before]]-Table1[[#This Row],[Bottle 2 after]]</f>
        <v>0</v>
      </c>
      <c r="O96" s="3" t="n">
        <f aca="false">Table1[[#This Row],[delta Bottle 1]]+Table1[[#This Row],[delta Bottle 2]]</f>
        <v>0</v>
      </c>
    </row>
    <row r="97" customFormat="false" ht="14.25" hidden="false" customHeight="false" outlineLevel="0" collapsed="false">
      <c r="F97" s="1" t="n">
        <f aca="false">Table1[[#This Row],[Fuel before]]-Table1[[#This Row],[Fuel after]]</f>
        <v>0</v>
      </c>
      <c r="J97" s="1" t="n">
        <f aca="false">Table1[[#This Row],[Bottle 1 before]]-Table1[[#This Row],[Bottle 1 after]]</f>
        <v>0</v>
      </c>
      <c r="N97" s="1" t="n">
        <f aca="false">Table1[[#This Row],[Bottle 2 before]]-Table1[[#This Row],[Bottle 2 after]]</f>
        <v>0</v>
      </c>
      <c r="O97" s="3" t="n">
        <f aca="false">Table1[[#This Row],[delta Bottle 1]]+Table1[[#This Row],[delta Bottle 2]]</f>
        <v>0</v>
      </c>
    </row>
    <row r="98" customFormat="false" ht="14.25" hidden="false" customHeight="false" outlineLevel="0" collapsed="false">
      <c r="F98" s="1" t="n">
        <f aca="false">Table1[[#This Row],[Fuel before]]-Table1[[#This Row],[Fuel after]]</f>
        <v>0</v>
      </c>
      <c r="J98" s="1" t="n">
        <f aca="false">Table1[[#This Row],[Bottle 1 before]]-Table1[[#This Row],[Bottle 1 after]]</f>
        <v>0</v>
      </c>
      <c r="N98" s="1" t="n">
        <f aca="false">Table1[[#This Row],[Bottle 2 before]]-Table1[[#This Row],[Bottle 2 after]]</f>
        <v>0</v>
      </c>
      <c r="O98" s="3" t="n">
        <f aca="false">Table1[[#This Row],[delta Bottle 1]]+Table1[[#This Row],[delta Bottle 2]]</f>
        <v>0</v>
      </c>
    </row>
    <row r="99" customFormat="false" ht="14.25" hidden="false" customHeight="false" outlineLevel="0" collapsed="false">
      <c r="F99" s="1" t="n">
        <f aca="false">Table1[[#This Row],[Fuel before]]-Table1[[#This Row],[Fuel after]]</f>
        <v>0</v>
      </c>
      <c r="J99" s="1" t="n">
        <f aca="false">Table1[[#This Row],[Bottle 1 before]]-Table1[[#This Row],[Bottle 1 after]]</f>
        <v>0</v>
      </c>
      <c r="N99" s="1" t="n">
        <f aca="false">Table1[[#This Row],[Bottle 2 before]]-Table1[[#This Row],[Bottle 2 after]]</f>
        <v>0</v>
      </c>
      <c r="O99" s="3" t="n">
        <f aca="false">Table1[[#This Row],[delta Bottle 1]]+Table1[[#This Row],[delta Bottle 2]]</f>
        <v>0</v>
      </c>
    </row>
    <row r="100" customFormat="false" ht="14.25" hidden="false" customHeight="false" outlineLevel="0" collapsed="false">
      <c r="F100" s="1" t="n">
        <f aca="false">Table1[[#This Row],[Fuel before]]-Table1[[#This Row],[Fuel after]]</f>
        <v>0</v>
      </c>
      <c r="J100" s="1" t="n">
        <f aca="false">Table1[[#This Row],[Bottle 1 before]]-Table1[[#This Row],[Bottle 1 after]]</f>
        <v>0</v>
      </c>
      <c r="N100" s="1" t="n">
        <f aca="false">Table1[[#This Row],[Bottle 2 before]]-Table1[[#This Row],[Bottle 2 after]]</f>
        <v>0</v>
      </c>
      <c r="O100" s="3" t="n">
        <f aca="false">Table1[[#This Row],[delta Bottle 1]]+Table1[[#This Row],[delta Bottle 2]]</f>
        <v>0</v>
      </c>
    </row>
    <row r="101" customFormat="false" ht="14.25" hidden="false" customHeight="false" outlineLevel="0" collapsed="false">
      <c r="F101" s="1" t="n">
        <f aca="false">Table1[[#This Row],[Fuel before]]-Table1[[#This Row],[Fuel after]]</f>
        <v>0</v>
      </c>
      <c r="J101" s="1" t="n">
        <f aca="false">Table1[[#This Row],[Bottle 1 before]]-Table1[[#This Row],[Bottle 1 after]]</f>
        <v>0</v>
      </c>
      <c r="N101" s="1" t="n">
        <f aca="false">Table1[[#This Row],[Bottle 2 before]]-Table1[[#This Row],[Bottle 2 after]]</f>
        <v>0</v>
      </c>
      <c r="O101" s="3" t="n">
        <f aca="false">Table1[[#This Row],[delta Bottle 1]]+Table1[[#This Row],[delta Bottle 2]]</f>
        <v>0</v>
      </c>
    </row>
    <row r="102" customFormat="false" ht="14.25" hidden="false" customHeight="false" outlineLevel="0" collapsed="false">
      <c r="F102" s="1" t="n">
        <f aca="false">Table1[[#This Row],[Fuel before]]-Table1[[#This Row],[Fuel after]]</f>
        <v>0</v>
      </c>
      <c r="J102" s="1" t="n">
        <f aca="false">Table1[[#This Row],[Bottle 1 before]]-Table1[[#This Row],[Bottle 1 after]]</f>
        <v>0</v>
      </c>
      <c r="N102" s="1" t="n">
        <f aca="false">Table1[[#This Row],[Bottle 2 before]]-Table1[[#This Row],[Bottle 2 after]]</f>
        <v>0</v>
      </c>
      <c r="O102" s="3" t="n">
        <f aca="false">Table1[[#This Row],[delta Bottle 1]]+Table1[[#This Row],[delta Bottle 2]]</f>
        <v>0</v>
      </c>
    </row>
    <row r="103" customFormat="false" ht="14.25" hidden="false" customHeight="false" outlineLevel="0" collapsed="false">
      <c r="F103" s="1" t="n">
        <f aca="false">Table1[[#This Row],[Fuel before]]-Table1[[#This Row],[Fuel after]]</f>
        <v>0</v>
      </c>
      <c r="J103" s="1" t="n">
        <f aca="false">Table1[[#This Row],[Bottle 1 before]]-Table1[[#This Row],[Bottle 1 after]]</f>
        <v>0</v>
      </c>
      <c r="N103" s="1" t="n">
        <f aca="false">Table1[[#This Row],[Bottle 2 before]]-Table1[[#This Row],[Bottle 2 after]]</f>
        <v>0</v>
      </c>
      <c r="O103" s="3" t="n">
        <f aca="false">Table1[[#This Row],[delta Bottle 1]]+Table1[[#This Row],[delta Bottle 2]]</f>
        <v>0</v>
      </c>
    </row>
    <row r="104" customFormat="false" ht="14.25" hidden="false" customHeight="false" outlineLevel="0" collapsed="false">
      <c r="F104" s="1" t="n">
        <f aca="false">Table1[[#This Row],[Fuel before]]-Table1[[#This Row],[Fuel after]]</f>
        <v>0</v>
      </c>
      <c r="J104" s="1" t="n">
        <f aca="false">Table1[[#This Row],[Bottle 1 before]]-Table1[[#This Row],[Bottle 1 after]]</f>
        <v>0</v>
      </c>
      <c r="N104" s="1" t="n">
        <f aca="false">Table1[[#This Row],[Bottle 2 before]]-Table1[[#This Row],[Bottle 2 after]]</f>
        <v>0</v>
      </c>
      <c r="O104" s="3" t="n">
        <f aca="false">Table1[[#This Row],[delta Bottle 1]]+Table1[[#This Row],[delta Bottle 2]]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9b9fba-e202-4bd8-8742-89551506cb2b" xsi:nil="true"/>
    <lcf76f155ced4ddcb4097134ff3c332f xmlns="e031b63a-e478-4836-8901-bfa8dd129394">
      <Terms xmlns="http://schemas.microsoft.com/office/infopath/2007/PartnerControls"/>
    </lcf76f155ced4ddcb4097134ff3c332f>
    <Descriptions xmlns="e031b63a-e478-4836-8901-bfa8dd1293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0FC9C7AD873A418FFF2FA6C9710E00" ma:contentTypeVersion="16" ma:contentTypeDescription="Create a new document." ma:contentTypeScope="" ma:versionID="88dcac177571d11d73f0e6bb4b868ccd">
  <xsd:schema xmlns:xsd="http://www.w3.org/2001/XMLSchema" xmlns:xs="http://www.w3.org/2001/XMLSchema" xmlns:p="http://schemas.microsoft.com/office/2006/metadata/properties" xmlns:ns2="e031b63a-e478-4836-8901-bfa8dd129394" xmlns:ns3="2f9b9fba-e202-4bd8-8742-89551506cb2b" targetNamespace="http://schemas.microsoft.com/office/2006/metadata/properties" ma:root="true" ma:fieldsID="a44785c258895d38e5466d391a313191" ns2:_="" ns3:_="">
    <xsd:import namespace="e031b63a-e478-4836-8901-bfa8dd129394"/>
    <xsd:import namespace="2f9b9fba-e202-4bd8-8742-89551506cb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Description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1b63a-e478-4836-8901-bfa8dd1293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30095c5-9845-4c19-ae12-55c1b63ea1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Descriptions" ma:index="19" nillable="true" ma:displayName="Descriptions" ma:format="Dropdown" ma:internalName="Descriptions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b9fba-e202-4bd8-8742-89551506cb2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579faa-a0d4-4c54-bd6a-0ad9febe9d2a}" ma:internalName="TaxCatchAll" ma:showField="CatchAllData" ma:web="2f9b9fba-e202-4bd8-8742-89551506cb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7AFD3A-9841-4674-97BD-3C2E1099A5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74F5E87-79E9-4F8C-B7DF-9CEF3B23729D}">
  <ds:schemaRefs>
    <ds:schemaRef ds:uri="http://schemas.microsoft.com/office/2006/metadata/properties"/>
    <ds:schemaRef ds:uri="http://schemas.microsoft.com/office/infopath/2007/PartnerControls"/>
    <ds:schemaRef ds:uri="2f9b9fba-e202-4bd8-8742-89551506cb2b"/>
    <ds:schemaRef ds:uri="e031b63a-e478-4836-8901-bfa8dd129394"/>
  </ds:schemaRefs>
</ds:datastoreItem>
</file>

<file path=customXml/itemProps3.xml><?xml version="1.0" encoding="utf-8"?>
<ds:datastoreItem xmlns:ds="http://schemas.openxmlformats.org/officeDocument/2006/customXml" ds:itemID="{4728CCA8-1D93-4578-81C9-61C382A5F5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1b63a-e478-4836-8901-bfa8dd129394"/>
    <ds:schemaRef ds:uri="2f9b9fba-e202-4bd8-8742-89551506cb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Mike Wettke</dc:creator>
  <dc:description/>
  <dc:language>en-US</dc:language>
  <cp:lastModifiedBy/>
  <dcterms:modified xsi:type="dcterms:W3CDTF">2026-04-01T13:54:42Z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0x0101009F0FC9C7AD873A418FFF2FA6C9710E00</vt:lpwstr>
  </property>
  <property fmtid="{D5CDD505-2E9C-101B-9397-08002B2CF9AE}" pid="3" name="MediaServiceImageTags">
    <vt:lpwstr/>
  </property>
</Properties>
</file>